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eca1149dcbeab80e/Desktop/data analyst projects/excel/"/>
    </mc:Choice>
  </mc:AlternateContent>
  <xr:revisionPtr revIDLastSave="1830" documentId="8_{50CA1575-35FF-4B7C-AFBA-39B8F2C31A62}" xr6:coauthVersionLast="47" xr6:coauthVersionMax="47" xr10:uidLastSave="{356AF851-3911-4462-A5B4-C99AD4D87E95}"/>
  <bookViews>
    <workbookView xWindow="-108" yWindow="-108" windowWidth="23256" windowHeight="12456" xr2:uid="{14E74330-CF1A-459C-A797-33CCB355DE58}"/>
  </bookViews>
  <sheets>
    <sheet name="Pivot Report" sheetId="1" r:id="rId1"/>
    <sheet name="Dashboard" sheetId="2" r:id="rId2"/>
    <sheet name="Avg Patient Satisfaction Score " sheetId="6" r:id="rId3"/>
    <sheet name="Avg Patient Time" sheetId="5" r:id="rId4"/>
    <sheet name="Daily ER No. of Patients" sheetId="3" r:id="rId5"/>
  </sheets>
  <definedNames>
    <definedName name="Slicer_Date__Month">#N/A</definedName>
    <definedName name="Slicer_Date__Year">#N/A</definedName>
  </definedNames>
  <calcPr calcId="191029"/>
  <pivotCaches>
    <pivotCache cacheId="479" r:id="rId6"/>
    <pivotCache cacheId="482" r:id="rId7"/>
    <pivotCache cacheId="485" r:id="rId8"/>
    <pivotCache cacheId="488" r:id="rId9"/>
    <pivotCache cacheId="491" r:id="rId10"/>
    <pivotCache cacheId="494" r:id="rId11"/>
    <pivotCache cacheId="497" r:id="rId12"/>
    <pivotCache cacheId="500" r:id="rId13"/>
    <pivotCache cacheId="503" r:id="rId14"/>
    <pivotCache cacheId="506" r:id="rId15"/>
    <pivotCache cacheId="509" r:id="rId16"/>
    <pivotCache cacheId="512" r:id="rId17"/>
    <pivotCache cacheId="515" r:id="rId18"/>
    <pivotCache cacheId="518"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01b2e28-f7fc-4642-ba6d-d80e40792011" name="Hospital Emergency Room Data" connection="Query - Hospital Emergency Room Data"/>
          <x15:modelTable id="Calendar_Table_362e682a-3059-4ef3-8434-a4fc717875e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1"/>
                <x16:calculatedTimeColumn columnName="Date (Day)" columnId="Date (Day)" contentType="days" isSelected="1"/>
              </x16:modelTimeGrouping>
              <x16:modelTimeGrouping tableName="Hospital Emergency Room Data" columnName="Patient Admission Time" columnId="Patient Admission Time">
                <x16:calculatedTimeColumn columnName="Patient Admission Time (Hour)" columnId="Patient Admission Time (Hour)" contentType="hours" isSelected="1"/>
                <x16:calculatedTimeColumn columnName="Patient Admission Time (Minute)" columnId="Patient Admission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C1EA2E-8390-47B7-BF08-2D94A75E5F66}" name="Query - Calendar_Table" description="Connection to the 'Calendar_Table' query in the workbook." type="100" refreshedVersion="8" minRefreshableVersion="5">
    <extLst>
      <ext xmlns:x15="http://schemas.microsoft.com/office/spreadsheetml/2010/11/main" uri="{DE250136-89BD-433C-8126-D09CA5730AF9}">
        <x15:connection id="be1e87fd-7e0a-44d8-b33c-f18a33e7c2f6"/>
      </ext>
    </extLst>
  </connection>
  <connection id="2" xr16:uid="{D7860499-B649-44EB-B51B-2EA360FB515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a3df89c-d267-42c2-9fa6-1985d848742d">
          <x15:oledbPr connection="Provider=Microsoft.Mashup.OleDb.1;Data Source=$Workbook$;Location=&quot;Hospital Emergency Room Data&quot;;Extended Properties=&quot;&quot;">
            <x15:dbTables>
              <x15:dbTable name="Hospital Emergency Room Data"/>
            </x15:dbTables>
          </x15:oledbPr>
        </x15:connection>
      </ext>
    </extLst>
  </connection>
  <connection id="3" xr16:uid="{7C3458BB-7BBD-458D-890F-2437E104D61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<sst xmlns="http://schemas.openxmlformats.org/spreadsheetml/2006/main" count="159" uniqueCount="69">
  <si>
    <t>Distinct Count of Patient Id</t>
  </si>
  <si>
    <t>No. of Patients</t>
  </si>
  <si>
    <t>Average of Patient Wait Time</t>
  </si>
  <si>
    <t>Average of Patient Satisfaction Score</t>
  </si>
  <si>
    <t>Grand Total</t>
  </si>
  <si>
    <t>Row Labels</t>
  </si>
  <si>
    <t>Daily Trends For Number of Patients</t>
  </si>
  <si>
    <t>Delay</t>
  </si>
  <si>
    <t>On Time</t>
  </si>
  <si>
    <t>Average Patient Wait Time</t>
  </si>
  <si>
    <t>Average Patient Satisfaction Score</t>
  </si>
  <si>
    <t>Count of Patient Id</t>
  </si>
  <si>
    <t>Female</t>
  </si>
  <si>
    <t>Male</t>
  </si>
  <si>
    <t>0-09</t>
  </si>
  <si>
    <t>10-19</t>
  </si>
  <si>
    <t>20-29</t>
  </si>
  <si>
    <t>30-39</t>
  </si>
  <si>
    <t>40-49</t>
  </si>
  <si>
    <t>50-59</t>
  </si>
  <si>
    <t>60-69</t>
  </si>
  <si>
    <t>70-79</t>
  </si>
  <si>
    <t>Cardiology</t>
  </si>
  <si>
    <t>Gastroenterology</t>
  </si>
  <si>
    <t>General Practice</t>
  </si>
  <si>
    <t>Neurology</t>
  </si>
  <si>
    <t>None</t>
  </si>
  <si>
    <t>Orthopedics</t>
  </si>
  <si>
    <t>Physiotherapy</t>
  </si>
  <si>
    <t>Renal</t>
  </si>
  <si>
    <t>2024</t>
  </si>
  <si>
    <t>African American</t>
  </si>
  <si>
    <t>Asian</t>
  </si>
  <si>
    <t>Declined to Identify</t>
  </si>
  <si>
    <t>Native American/Alaska Native</t>
  </si>
  <si>
    <t>Pacific Islander</t>
  </si>
  <si>
    <t>Two or More Races</t>
  </si>
  <si>
    <t>White</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</si>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</sst>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applyNumberFormat="1"/>
  </cellXfs>
  <cellStyles count="1">
    <cellStyle name="Normal" xfId="0" builtinId="0"/>
  </cellStyles>
  <dxfs count="301">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2" formatCode="0.00"/>
    </dxf>
    <dxf>
      <numFmt numFmtId="164" formatCode="0.0"/>
    </dxf>
    <dxf>
      <numFmt numFmtId="1" formatCode="0"/>
    </dxf>
    <dxf>
      <numFmt numFmtId="164" formatCode="0.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 formatCode="0"/>
    </dxf>
    <dxf>
      <numFmt numFmtId="1" formatCode="0"/>
    </dxf>
    <dxf>
      <numFmt numFmtId="164" formatCode="0.0"/>
    </dxf>
    <dxf>
      <numFmt numFmtId="2" formatCode="0.00"/>
    </dxf>
    <dxf>
      <numFmt numFmtId="2" formatCode="0.00"/>
    </dxf>
    <dxf>
      <numFmt numFmtId="164" formatCode="0.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2" formatCode="0.00"/>
    </dxf>
    <dxf>
      <numFmt numFmtId="1" formatCode="0"/>
    </dxf>
    <dxf>
      <numFmt numFmtId="1" formatCode="0"/>
    </dxf>
    <dxf>
      <numFmt numFmtId="1" formatCode="0"/>
    </dxf>
    <dxf>
      <numFmt numFmtId="164" formatCode="0.0"/>
    </dxf>
    <dxf>
      <numFmt numFmtId="1" formatCode="0"/>
    </dxf>
    <dxf>
      <numFmt numFmtId="1" formatCode="0"/>
    </dxf>
    <dxf>
      <numFmt numFmtId="164" formatCode="0.0"/>
    </dxf>
    <dxf>
      <numFmt numFmtId="2" formatCode="0.00"/>
    </dxf>
    <dxf>
      <numFmt numFmtId="2" formatCode="0.00"/>
    </dxf>
    <dxf>
      <numFmt numFmtId="164" formatCode="0.0"/>
    </dxf>
    <dxf>
      <numFmt numFmtId="1" formatCode="0"/>
    </dxf>
    <dxf>
      <numFmt numFmtId="164" formatCode="0.0"/>
    </dxf>
    <dxf>
      <numFmt numFmtId="1" formatCode="0"/>
    </dxf>
    <dxf>
      <numFmt numFmtId="1" formatCode="0"/>
    </dxf>
    <dxf>
      <numFmt numFmtId="164" formatCode="0.0"/>
    </dxf>
    <dxf>
      <numFmt numFmtId="1" formatCode="0"/>
    </dxf>
    <dxf>
      <numFmt numFmtId="164" formatCode="0.0"/>
    </dxf>
    <dxf>
      <font>
        <b/>
        <color theme="1"/>
      </font>
      <border>
        <bottom style="thin">
          <color theme="4"/>
        </bottom>
        <vertical/>
        <horizontal/>
      </border>
    </dxf>
    <dxf>
      <font>
        <b/>
        <i val="0"/>
        <sz val="9"/>
        <color theme="1"/>
      </font>
      <fill>
        <patternFill>
          <bgColor theme="5"/>
        </patternFill>
      </fill>
      <border diagonalUp="0" diagonalDown="0">
        <left/>
        <right/>
        <top/>
        <bottom/>
        <vertical/>
        <horizontal/>
      </border>
    </dxf>
  </dxfs>
  <tableStyles count="1" defaultTableStyle="TableStyleMedium2" defaultPivotStyle="PivotStyleLight16">
    <tableStyle name="My Style" pivot="0" table="0" count="10" xr9:uid="{C959128E-9B61-47A4-B9C0-167CB8E6F555}">
      <tableStyleElement type="wholeTable" dxfId="300"/>
      <tableStyleElement type="headerRow" dxfId="29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 Project.xlsx]Pivot 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Report'!$E$8</c:f>
              <c:strCache>
                <c:ptCount val="1"/>
                <c:pt idx="0">
                  <c:v>Total</c:v>
                </c:pt>
              </c:strCache>
            </c:strRef>
          </c:tx>
          <c:spPr>
            <a:solidFill>
              <a:schemeClr val="accent1">
                <a:lumMod val="50000"/>
              </a:schemeClr>
            </a:solidFill>
            <a:ln w="25400">
              <a:noFill/>
            </a:ln>
            <a:effectLst/>
          </c:spPr>
          <c:cat>
            <c:strRef>
              <c:f>'Pivot Report'!$D$9:$D$40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Report'!$E$9:$E$40</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42D1-4B94-9ABD-84A0C7C90626}"/>
            </c:ext>
          </c:extLst>
        </c:ser>
        <c:dLbls>
          <c:showLegendKey val="0"/>
          <c:showVal val="0"/>
          <c:showCatName val="0"/>
          <c:showSerName val="0"/>
          <c:showPercent val="0"/>
          <c:showBubbleSize val="0"/>
        </c:dLbls>
        <c:axId val="620017904"/>
        <c:axId val="620011664"/>
      </c:areaChart>
      <c:catAx>
        <c:axId val="620017904"/>
        <c:scaling>
          <c:orientation val="minMax"/>
        </c:scaling>
        <c:delete val="1"/>
        <c:axPos val="b"/>
        <c:numFmt formatCode="General" sourceLinked="1"/>
        <c:majorTickMark val="out"/>
        <c:minorTickMark val="none"/>
        <c:tickLblPos val="nextTo"/>
        <c:crossAx val="620011664"/>
        <c:crosses val="autoZero"/>
        <c:auto val="1"/>
        <c:lblAlgn val="ctr"/>
        <c:lblOffset val="100"/>
        <c:noMultiLvlLbl val="0"/>
      </c:catAx>
      <c:valAx>
        <c:axId val="620011664"/>
        <c:scaling>
          <c:orientation val="minMax"/>
        </c:scaling>
        <c:delete val="1"/>
        <c:axPos val="l"/>
        <c:numFmt formatCode="General" sourceLinked="1"/>
        <c:majorTickMark val="none"/>
        <c:minorTickMark val="none"/>
        <c:tickLblPos val="nextTo"/>
        <c:crossAx val="6200179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117671136525173E-2"/>
          <c:y val="0.12557174695018855"/>
          <c:w val="0.82776465772694963"/>
          <c:h val="0.59817040975939662"/>
        </c:manualLayout>
      </c:layout>
      <c:areaChart>
        <c:grouping val="standard"/>
        <c:varyColors val="0"/>
        <c:ser>
          <c:idx val="0"/>
          <c:order val="0"/>
          <c:tx>
            <c:strRef>
              <c:f>'Pivot Report'!$J$9</c:f>
              <c:strCache>
                <c:ptCount val="1"/>
                <c:pt idx="0">
                  <c:v>Total</c:v>
                </c:pt>
              </c:strCache>
            </c:strRef>
          </c:tx>
          <c:spPr>
            <a:solidFill>
              <a:schemeClr val="accent1">
                <a:lumMod val="50000"/>
              </a:schemeClr>
            </a:solidFill>
            <a:ln w="25400">
              <a:noFill/>
            </a:ln>
            <a:effectLst/>
          </c:spPr>
          <c:cat>
            <c:strRef>
              <c:f>'Pivot Report'!$I$10:$I$41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Report'!$J$10:$J$41</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212F-49D2-A664-D9568DC8BD74}"/>
            </c:ext>
          </c:extLst>
        </c:ser>
        <c:dLbls>
          <c:showLegendKey val="0"/>
          <c:showVal val="0"/>
          <c:showCatName val="0"/>
          <c:showSerName val="0"/>
          <c:showPercent val="0"/>
          <c:showBubbleSize val="0"/>
        </c:dLbls>
        <c:axId val="46862544"/>
        <c:axId val="46856784"/>
      </c:areaChart>
      <c:catAx>
        <c:axId val="46862544"/>
        <c:scaling>
          <c:orientation val="minMax"/>
        </c:scaling>
        <c:delete val="1"/>
        <c:axPos val="b"/>
        <c:numFmt formatCode="General" sourceLinked="1"/>
        <c:majorTickMark val="out"/>
        <c:minorTickMark val="none"/>
        <c:tickLblPos val="nextTo"/>
        <c:crossAx val="46856784"/>
        <c:crosses val="autoZero"/>
        <c:auto val="1"/>
        <c:lblAlgn val="ctr"/>
        <c:lblOffset val="100"/>
        <c:noMultiLvlLbl val="0"/>
      </c:catAx>
      <c:valAx>
        <c:axId val="46856784"/>
        <c:scaling>
          <c:orientation val="minMax"/>
        </c:scaling>
        <c:delete val="1"/>
        <c:axPos val="l"/>
        <c:numFmt formatCode="0.00" sourceLinked="1"/>
        <c:majorTickMark val="none"/>
        <c:minorTickMark val="none"/>
        <c:tickLblPos val="nextTo"/>
        <c:crossAx val="46862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26027996500442E-2"/>
          <c:y val="0.3115107328409763"/>
          <c:w val="0.89550190332168744"/>
          <c:h val="0.38945272734868158"/>
        </c:manualLayout>
      </c:layout>
      <c:areaChart>
        <c:grouping val="standard"/>
        <c:varyColors val="0"/>
        <c:ser>
          <c:idx val="0"/>
          <c:order val="0"/>
          <c:tx>
            <c:strRef>
              <c:f>'Pivot Report'!$O$8</c:f>
              <c:strCache>
                <c:ptCount val="1"/>
                <c:pt idx="0">
                  <c:v>Total</c:v>
                </c:pt>
              </c:strCache>
            </c:strRef>
          </c:tx>
          <c:spPr>
            <a:solidFill>
              <a:schemeClr val="accent1">
                <a:lumMod val="50000"/>
              </a:schemeClr>
            </a:solidFill>
            <a:ln w="25400">
              <a:noFill/>
            </a:ln>
            <a:effectLst/>
          </c:spPr>
          <c:cat>
            <c:strRef>
              <c:f>'Pivot Report'!$N$9:$N$40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Report'!$O$9:$O$40</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B793-45A3-9BCA-BA9F37C803A6}"/>
            </c:ext>
          </c:extLst>
        </c:ser>
        <c:dLbls>
          <c:showLegendKey val="0"/>
          <c:showVal val="0"/>
          <c:showCatName val="0"/>
          <c:showSerName val="0"/>
          <c:showPercent val="0"/>
          <c:showBubbleSize val="0"/>
        </c:dLbls>
        <c:axId val="135748895"/>
        <c:axId val="135750815"/>
      </c:areaChart>
      <c:catAx>
        <c:axId val="135748895"/>
        <c:scaling>
          <c:orientation val="minMax"/>
        </c:scaling>
        <c:delete val="1"/>
        <c:axPos val="b"/>
        <c:numFmt formatCode="General" sourceLinked="1"/>
        <c:majorTickMark val="out"/>
        <c:minorTickMark val="none"/>
        <c:tickLblPos val="nextTo"/>
        <c:crossAx val="135750815"/>
        <c:crosses val="autoZero"/>
        <c:auto val="1"/>
        <c:lblAlgn val="ctr"/>
        <c:lblOffset val="100"/>
        <c:noMultiLvlLbl val="0"/>
      </c:catAx>
      <c:valAx>
        <c:axId val="135750815"/>
        <c:scaling>
          <c:orientation val="minMax"/>
        </c:scaling>
        <c:delete val="1"/>
        <c:axPos val="l"/>
        <c:numFmt formatCode="0.00" sourceLinked="1"/>
        <c:majorTickMark val="none"/>
        <c:minorTickMark val="none"/>
        <c:tickLblPos val="nextTo"/>
        <c:crossAx val="1357488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Report!PivotTable9</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317500" algn="ctr" rotWithShape="0">
              <a:prstClr val="black">
                <a:alpha val="25000"/>
              </a:prstClr>
            </a:outerShdw>
          </a:effectLst>
        </c:spPr>
        <c:dLbl>
          <c:idx val="0"/>
          <c:layout>
            <c:manualLayout>
              <c:x val="-0.2102086341282618"/>
              <c:y val="-6.98615094401702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2509164690578885"/>
              <c:y val="4.32614873182608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106169463755922"/>
          <c:y val="0.15765923421491673"/>
          <c:w val="0.6010037971040163"/>
          <c:h val="0.60082919932601619"/>
        </c:manualLayout>
      </c:layout>
      <c:pieChart>
        <c:varyColors val="1"/>
        <c:ser>
          <c:idx val="0"/>
          <c:order val="0"/>
          <c:tx>
            <c:strRef>
              <c:f>'Pivot Report'!$T$15</c:f>
              <c:strCache>
                <c:ptCount val="1"/>
                <c:pt idx="0">
                  <c:v>Total</c:v>
                </c:pt>
              </c:strCache>
            </c:strRef>
          </c:tx>
          <c:dPt>
            <c:idx val="0"/>
            <c:bubble3D val="0"/>
            <c:spPr>
              <a:solidFill>
                <a:schemeClr val="accent1">
                  <a:lumMod val="50000"/>
                </a:schemeClr>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layout>
                <c:manualLayout>
                  <c:x val="-0.2102086341282618"/>
                  <c:y val="-6.9861509440170291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0.2509164690578885"/>
                  <c:y val="4.3261487318260863E-2"/>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Report'!$S$16:$S$18</c:f>
              <c:strCache>
                <c:ptCount val="2"/>
                <c:pt idx="0">
                  <c:v>Delay</c:v>
                </c:pt>
                <c:pt idx="1">
                  <c:v>On Time</c:v>
                </c:pt>
              </c:strCache>
            </c:strRef>
          </c:cat>
          <c:val>
            <c:numRef>
              <c:f>'Pivot Report'!$T$16:$T$18</c:f>
              <c:numCache>
                <c:formatCode>0</c:formatCode>
                <c:ptCount val="2"/>
                <c:pt idx="0">
                  <c:v>324</c:v>
                </c:pt>
                <c:pt idx="1">
                  <c:v>195</c:v>
                </c:pt>
              </c:numCache>
            </c:numRef>
          </c:val>
          <c:extLst>
            <c:ext xmlns:c16="http://schemas.microsoft.com/office/drawing/2014/chart" uri="{C3380CC4-5D6E-409C-BE32-E72D297353CC}">
              <c16:uniqueId val="{00000004-E71E-40AE-8ED1-2BE0F1A378B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943985913942995"/>
          <c:y val="4.406081077424232E-3"/>
          <c:w val="0.78235417914149774"/>
          <c:h val="0.21455733450956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50000"/>
            </a:schemeClr>
          </a:solidFill>
          <a:ln w="19050">
            <a:noFill/>
          </a:ln>
          <a:effectLst/>
        </c:spPr>
      </c:pivotFmt>
      <c:pivotFmt>
        <c:idx val="7"/>
        <c:spPr>
          <a:solidFill>
            <a:schemeClr val="accent1"/>
          </a:solidFill>
          <a:ln w="19050">
            <a:noFill/>
          </a:ln>
          <a:effectLst/>
        </c:spPr>
      </c:pivotFmt>
    </c:pivotFmts>
    <c:plotArea>
      <c:layout>
        <c:manualLayout>
          <c:layoutTarget val="inner"/>
          <c:xMode val="edge"/>
          <c:yMode val="edge"/>
          <c:x val="0.19278398546345671"/>
          <c:y val="0.18300363423178831"/>
          <c:w val="0.61451972079433181"/>
          <c:h val="0.73291953748210625"/>
        </c:manualLayout>
      </c:layout>
      <c:doughnutChart>
        <c:varyColors val="1"/>
        <c:ser>
          <c:idx val="0"/>
          <c:order val="0"/>
          <c:tx>
            <c:strRef>
              <c:f>'Pivot Report'!$B$29</c:f>
              <c:strCache>
                <c:ptCount val="1"/>
                <c:pt idx="0">
                  <c:v>Total</c:v>
                </c:pt>
              </c:strCache>
            </c:strRef>
          </c:tx>
          <c:spPr>
            <a:ln>
              <a:noFill/>
            </a:ln>
          </c:spPr>
          <c:dPt>
            <c:idx val="0"/>
            <c:bubble3D val="0"/>
            <c:spPr>
              <a:solidFill>
                <a:schemeClr val="accent1">
                  <a:lumMod val="50000"/>
                </a:schemeClr>
              </a:solidFill>
              <a:ln w="19050">
                <a:noFill/>
              </a:ln>
              <a:effectLst/>
            </c:spPr>
          </c:dPt>
          <c:dPt>
            <c:idx val="1"/>
            <c:bubble3D val="0"/>
            <c:spPr>
              <a:solidFill>
                <a:schemeClr val="accent2"/>
              </a:solidFill>
              <a:ln w="19050">
                <a:no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Report'!$A$30:$A$32</c:f>
              <c:strCache>
                <c:ptCount val="2"/>
                <c:pt idx="0">
                  <c:v>Female</c:v>
                </c:pt>
                <c:pt idx="1">
                  <c:v>Male</c:v>
                </c:pt>
              </c:strCache>
            </c:strRef>
          </c:cat>
          <c:val>
            <c:numRef>
              <c:f>'Pivot Report'!$B$30:$B$32</c:f>
              <c:numCache>
                <c:formatCode>0</c:formatCode>
                <c:ptCount val="2"/>
                <c:pt idx="0">
                  <c:v>254</c:v>
                </c:pt>
                <c:pt idx="1">
                  <c:v>265</c:v>
                </c:pt>
              </c:numCache>
            </c:numRef>
          </c:val>
          <c:extLst>
            <c:ext xmlns:c16="http://schemas.microsoft.com/office/drawing/2014/chart" uri="{C3380CC4-5D6E-409C-BE32-E72D297353CC}">
              <c16:uniqueId val="{00000004-A754-4D6E-A877-8E7F39B49478}"/>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r"/>
      <c:layout>
        <c:manualLayout>
          <c:xMode val="edge"/>
          <c:yMode val="edge"/>
          <c:x val="7.992788138101771E-2"/>
          <c:y val="3.7772332078177234E-2"/>
          <c:w val="0.3241193731899793"/>
          <c:h val="0.2938106381841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65496791486073E-2"/>
          <c:y val="5.9493973307349617E-2"/>
          <c:w val="0.9254690064170279"/>
          <c:h val="0.7093441676164064"/>
        </c:manualLayout>
      </c:layout>
      <c:barChart>
        <c:barDir val="col"/>
        <c:grouping val="clustered"/>
        <c:varyColors val="0"/>
        <c:ser>
          <c:idx val="0"/>
          <c:order val="0"/>
          <c:tx>
            <c:strRef>
              <c:f>'Pivot Report'!$B$36</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Report'!$A$37:$A$45</c:f>
              <c:strCache>
                <c:ptCount val="8"/>
                <c:pt idx="0">
                  <c:v>0-09</c:v>
                </c:pt>
                <c:pt idx="1">
                  <c:v>10-19</c:v>
                </c:pt>
                <c:pt idx="2">
                  <c:v>20-29</c:v>
                </c:pt>
                <c:pt idx="3">
                  <c:v>30-39</c:v>
                </c:pt>
                <c:pt idx="4">
                  <c:v>40-49</c:v>
                </c:pt>
                <c:pt idx="5">
                  <c:v>50-59</c:v>
                </c:pt>
                <c:pt idx="6">
                  <c:v>60-69</c:v>
                </c:pt>
                <c:pt idx="7">
                  <c:v>70-79</c:v>
                </c:pt>
              </c:strCache>
            </c:strRef>
          </c:cat>
          <c:val>
            <c:numRef>
              <c:f>'Pivot Report'!$B$37:$B$45</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B423-4716-91EC-09F6E03010F8}"/>
            </c:ext>
          </c:extLst>
        </c:ser>
        <c:dLbls>
          <c:dLblPos val="outEnd"/>
          <c:showLegendKey val="0"/>
          <c:showVal val="1"/>
          <c:showCatName val="0"/>
          <c:showSerName val="0"/>
          <c:showPercent val="0"/>
          <c:showBubbleSize val="0"/>
        </c:dLbls>
        <c:gapWidth val="219"/>
        <c:overlap val="-27"/>
        <c:axId val="1933650880"/>
        <c:axId val="1933651360"/>
      </c:barChart>
      <c:catAx>
        <c:axId val="1933650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933651360"/>
        <c:crosses val="autoZero"/>
        <c:auto val="1"/>
        <c:lblAlgn val="ctr"/>
        <c:lblOffset val="100"/>
        <c:noMultiLvlLbl val="0"/>
      </c:catAx>
      <c:valAx>
        <c:axId val="1933651360"/>
        <c:scaling>
          <c:orientation val="minMax"/>
        </c:scaling>
        <c:delete val="1"/>
        <c:axPos val="l"/>
        <c:numFmt formatCode="0" sourceLinked="1"/>
        <c:majorTickMark val="out"/>
        <c:minorTickMark val="none"/>
        <c:tickLblPos val="nextTo"/>
        <c:crossAx val="193365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Report!PivotTable11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dLbl>
          <c:idx val="0"/>
          <c:layout>
            <c:manualLayout>
              <c:x val="-4.2391282216122771E-3"/>
              <c:y val="-1.277257429027569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84513466622877"/>
          <c:y val="6.3207492960983741E-2"/>
          <c:w val="0.60371594636534809"/>
          <c:h val="0.90806182842038718"/>
        </c:manualLayout>
      </c:layout>
      <c:barChart>
        <c:barDir val="bar"/>
        <c:grouping val="clustered"/>
        <c:varyColors val="0"/>
        <c:ser>
          <c:idx val="0"/>
          <c:order val="0"/>
          <c:tx>
            <c:strRef>
              <c:f>'Pivot Report'!$B$49</c:f>
              <c:strCache>
                <c:ptCount val="1"/>
                <c:pt idx="0">
                  <c:v>Total</c:v>
                </c:pt>
              </c:strCache>
            </c:strRef>
          </c:tx>
          <c:spPr>
            <a:solidFill>
              <a:schemeClr val="accent1">
                <a:lumMod val="50000"/>
              </a:schemeClr>
            </a:solidFill>
            <a:ln>
              <a:noFill/>
            </a:ln>
            <a:effectLst/>
          </c:spPr>
          <c:invertIfNegative val="0"/>
          <c:dPt>
            <c:idx val="7"/>
            <c:invertIfNegative val="0"/>
            <c:bubble3D val="0"/>
          </c:dPt>
          <c:dLbls>
            <c:dLbl>
              <c:idx val="7"/>
              <c:layout>
                <c:manualLayout>
                  <c:x val="-4.2391282216122771E-3"/>
                  <c:y val="-1.2772574290275691E-17"/>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Report'!$B$50:$B$58</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1-0823-4913-A688-E0183E45CAA8}"/>
            </c:ext>
          </c:extLst>
        </c:ser>
        <c:dLbls>
          <c:dLblPos val="outEnd"/>
          <c:showLegendKey val="0"/>
          <c:showVal val="1"/>
          <c:showCatName val="0"/>
          <c:showSerName val="0"/>
          <c:showPercent val="0"/>
          <c:showBubbleSize val="0"/>
        </c:dLbls>
        <c:gapWidth val="182"/>
        <c:axId val="2043429856"/>
        <c:axId val="2043430336"/>
      </c:barChart>
      <c:catAx>
        <c:axId val="204342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43430336"/>
        <c:crosses val="autoZero"/>
        <c:auto val="1"/>
        <c:lblAlgn val="ctr"/>
        <c:lblOffset val="100"/>
        <c:noMultiLvlLbl val="0"/>
      </c:catAx>
      <c:valAx>
        <c:axId val="2043430336"/>
        <c:scaling>
          <c:orientation val="minMax"/>
        </c:scaling>
        <c:delete val="1"/>
        <c:axPos val="b"/>
        <c:numFmt formatCode="0" sourceLinked="1"/>
        <c:majorTickMark val="none"/>
        <c:minorTickMark val="none"/>
        <c:tickLblPos val="nextTo"/>
        <c:crossAx val="204342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Report!PivotTable12</c:name>
    <c:fmtId val="8"/>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81875196708751"/>
          <c:y val="0.12254107876647606"/>
          <c:w val="0.55446757323326079"/>
          <c:h val="0.82876242622561325"/>
        </c:manualLayout>
      </c:layout>
      <c:barChart>
        <c:barDir val="bar"/>
        <c:grouping val="clustered"/>
        <c:varyColors val="0"/>
        <c:ser>
          <c:idx val="0"/>
          <c:order val="0"/>
          <c:tx>
            <c:strRef>
              <c:f>'Pivot Report'!$B$70</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Report'!$A$71:$A$78</c:f>
              <c:strCache>
                <c:ptCount val="7"/>
                <c:pt idx="0">
                  <c:v>Native American/Alaska Native</c:v>
                </c:pt>
                <c:pt idx="1">
                  <c:v>Pacific Islander</c:v>
                </c:pt>
                <c:pt idx="2">
                  <c:v>Declined to Identify</c:v>
                </c:pt>
                <c:pt idx="3">
                  <c:v>Asian</c:v>
                </c:pt>
                <c:pt idx="4">
                  <c:v>Two or More Races</c:v>
                </c:pt>
                <c:pt idx="5">
                  <c:v>African American</c:v>
                </c:pt>
                <c:pt idx="6">
                  <c:v>White</c:v>
                </c:pt>
              </c:strCache>
            </c:strRef>
          </c:cat>
          <c:val>
            <c:numRef>
              <c:f>'Pivot Report'!$B$71:$B$78</c:f>
              <c:numCache>
                <c:formatCode>0</c:formatCode>
                <c:ptCount val="7"/>
                <c:pt idx="0">
                  <c:v>28</c:v>
                </c:pt>
                <c:pt idx="1">
                  <c:v>29</c:v>
                </c:pt>
                <c:pt idx="2">
                  <c:v>63</c:v>
                </c:pt>
                <c:pt idx="3">
                  <c:v>73</c:v>
                </c:pt>
                <c:pt idx="4">
                  <c:v>77</c:v>
                </c:pt>
                <c:pt idx="5">
                  <c:v>111</c:v>
                </c:pt>
                <c:pt idx="6">
                  <c:v>138</c:v>
                </c:pt>
              </c:numCache>
            </c:numRef>
          </c:val>
          <c:extLst>
            <c:ext xmlns:c16="http://schemas.microsoft.com/office/drawing/2014/chart" uri="{C3380CC4-5D6E-409C-BE32-E72D297353CC}">
              <c16:uniqueId val="{00000000-F21C-4A6E-B0A9-F8E25653F62E}"/>
            </c:ext>
          </c:extLst>
        </c:ser>
        <c:dLbls>
          <c:dLblPos val="outEnd"/>
          <c:showLegendKey val="0"/>
          <c:showVal val="1"/>
          <c:showCatName val="0"/>
          <c:showSerName val="0"/>
          <c:showPercent val="0"/>
          <c:showBubbleSize val="0"/>
        </c:dLbls>
        <c:gapWidth val="182"/>
        <c:axId val="364174208"/>
        <c:axId val="364174688"/>
      </c:barChart>
      <c:catAx>
        <c:axId val="36417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64174688"/>
        <c:crosses val="autoZero"/>
        <c:auto val="1"/>
        <c:lblAlgn val="l"/>
        <c:lblOffset val="100"/>
        <c:noMultiLvlLbl val="0"/>
      </c:catAx>
      <c:valAx>
        <c:axId val="364174688"/>
        <c:scaling>
          <c:orientation val="minMax"/>
        </c:scaling>
        <c:delete val="1"/>
        <c:axPos val="b"/>
        <c:numFmt formatCode="0" sourceLinked="1"/>
        <c:majorTickMark val="none"/>
        <c:minorTickMark val="none"/>
        <c:tickLblPos val="nextTo"/>
        <c:crossAx val="36417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Report!PivotTable7</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Report'!$N$9:$N$40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Report'!$O$9:$O$40</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1291-4D21-B44E-0E401376A7D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5748895"/>
        <c:axId val="135750815"/>
      </c:areaChart>
      <c:catAx>
        <c:axId val="1357488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750815"/>
        <c:crosses val="autoZero"/>
        <c:auto val="1"/>
        <c:lblAlgn val="ctr"/>
        <c:lblOffset val="100"/>
        <c:noMultiLvlLbl val="0"/>
      </c:catAx>
      <c:valAx>
        <c:axId val="135750815"/>
        <c:scaling>
          <c:orientation val="minMax"/>
        </c:scaling>
        <c:delete val="1"/>
        <c:axPos val="l"/>
        <c:numFmt formatCode="0.00" sourceLinked="1"/>
        <c:majorTickMark val="out"/>
        <c:minorTickMark val="none"/>
        <c:tickLblPos val="nextTo"/>
        <c:crossAx val="1357488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Report'!$I$10:$I$41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Report'!$J$10:$J$41</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3FBE-47B2-BE21-0BC100D5C00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6862544"/>
        <c:axId val="46856784"/>
      </c:areaChart>
      <c:catAx>
        <c:axId val="468625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856784"/>
        <c:crosses val="autoZero"/>
        <c:auto val="1"/>
        <c:lblAlgn val="ctr"/>
        <c:lblOffset val="100"/>
        <c:noMultiLvlLbl val="0"/>
      </c:catAx>
      <c:valAx>
        <c:axId val="46856784"/>
        <c:scaling>
          <c:orientation val="minMax"/>
        </c:scaling>
        <c:delete val="1"/>
        <c:axPos val="l"/>
        <c:numFmt formatCode="0.00" sourceLinked="1"/>
        <c:majorTickMark val="out"/>
        <c:minorTickMark val="none"/>
        <c:tickLblPos val="nextTo"/>
        <c:crossAx val="46862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Project.xlsx]Pivot Report!PivotTable5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36032112415124E-2"/>
          <c:y val="0.13473915635560185"/>
          <c:w val="0.95412793577516974"/>
          <c:h val="0.70697159628767448"/>
        </c:manualLayout>
      </c:layout>
      <c:areaChart>
        <c:grouping val="standard"/>
        <c:varyColors val="0"/>
        <c:ser>
          <c:idx val="0"/>
          <c:order val="0"/>
          <c:tx>
            <c:strRef>
              <c:f>'Pivot Report'!$E$8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Report'!$D$9:$D$40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Report'!$E$9:$E$40</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CFA2-43A9-A6C9-4FAF70B8B2A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20017904"/>
        <c:axId val="620011664"/>
      </c:areaChart>
      <c:catAx>
        <c:axId val="6200179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0011664"/>
        <c:crosses val="autoZero"/>
        <c:auto val="1"/>
        <c:lblAlgn val="ctr"/>
        <c:lblOffset val="100"/>
        <c:noMultiLvlLbl val="0"/>
      </c:catAx>
      <c:valAx>
        <c:axId val="620011664"/>
        <c:scaling>
          <c:orientation val="minMax"/>
        </c:scaling>
        <c:delete val="1"/>
        <c:axPos val="l"/>
        <c:numFmt formatCode="General" sourceLinked="1"/>
        <c:majorTickMark val="out"/>
        <c:minorTickMark val="none"/>
        <c:tickLblPos val="nextTo"/>
        <c:crossAx val="6200179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Avg Patient Satisfaction Score '!A1"/><Relationship Id="rId17" Type="http://schemas.openxmlformats.org/officeDocument/2006/relationships/chart" Target="../charts/chart7.xml"/><Relationship Id="rId2" Type="http://schemas.openxmlformats.org/officeDocument/2006/relationships/image" Target="../media/image4.png"/><Relationship Id="rId16" Type="http://schemas.openxmlformats.org/officeDocument/2006/relationships/chart" Target="../charts/chart6.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2.xml"/><Relationship Id="rId5" Type="http://schemas.openxmlformats.org/officeDocument/2006/relationships/image" Target="../media/image7.svg"/><Relationship Id="rId15" Type="http://schemas.openxmlformats.org/officeDocument/2006/relationships/chart" Target="../charts/chart5.xml"/><Relationship Id="rId10" Type="http://schemas.openxmlformats.org/officeDocument/2006/relationships/hyperlink" Target="#'Avg Patient Time'!A1"/><Relationship Id="rId4" Type="http://schemas.openxmlformats.org/officeDocument/2006/relationships/image" Target="../media/image6.png"/><Relationship Id="rId9" Type="http://schemas.openxmlformats.org/officeDocument/2006/relationships/chart" Target="../charts/chart1.xml"/><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19</xdr:col>
      <xdr:colOff>154405</xdr:colOff>
      <xdr:row>23</xdr:row>
      <xdr:rowOff>20053</xdr:rowOff>
    </xdr:from>
    <xdr:to>
      <xdr:col>20</xdr:col>
      <xdr:colOff>455195</xdr:colOff>
      <xdr:row>28</xdr:row>
      <xdr:rowOff>12032</xdr:rowOff>
    </xdr:to>
    <xdr:pic>
      <xdr:nvPicPr>
        <xdr:cNvPr id="3" name="Graphic 2" descr="Bar chart with solid fill">
          <a:hlinkClick xmlns:r="http://schemas.openxmlformats.org/officeDocument/2006/relationships" r:id="rId1"/>
          <a:extLst>
            <a:ext uri="{FF2B5EF4-FFF2-40B4-BE49-F238E27FC236}">
              <a16:creationId xmlns:a16="http://schemas.microsoft.com/office/drawing/2014/main" id="{E6A91806-724F-17D1-9EB1-8ECF3C967A5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397037" y="4170948"/>
          <a:ext cx="912395" cy="8943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71120</xdr:colOff>
      <xdr:row>0</xdr:row>
      <xdr:rowOff>83820</xdr:rowOff>
    </xdr:from>
    <xdr:to>
      <xdr:col>6</xdr:col>
      <xdr:colOff>62459</xdr:colOff>
      <xdr:row>4</xdr:row>
      <xdr:rowOff>53340</xdr:rowOff>
    </xdr:to>
    <xdr:sp macro="" textlink="">
      <xdr:nvSpPr>
        <xdr:cNvPr id="2" name="Rectangle: Rounded Corners 1">
          <a:extLst>
            <a:ext uri="{FF2B5EF4-FFF2-40B4-BE49-F238E27FC236}">
              <a16:creationId xmlns:a16="http://schemas.microsoft.com/office/drawing/2014/main" id="{83081A85-5743-4FDF-48A9-082DA05E24D5}"/>
            </a:ext>
          </a:extLst>
        </xdr:cNvPr>
        <xdr:cNvSpPr/>
      </xdr:nvSpPr>
      <xdr:spPr>
        <a:xfrm>
          <a:off x="71120" y="83820"/>
          <a:ext cx="3663929" cy="694045"/>
        </a:xfrm>
        <a:prstGeom prst="roundRect">
          <a:avLst>
            <a:gd name="adj" fmla="val 869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112157</xdr:colOff>
      <xdr:row>0</xdr:row>
      <xdr:rowOff>83820</xdr:rowOff>
    </xdr:from>
    <xdr:to>
      <xdr:col>8</xdr:col>
      <xdr:colOff>125351</xdr:colOff>
      <xdr:row>4</xdr:row>
      <xdr:rowOff>53340</xdr:rowOff>
    </xdr:to>
    <xdr:sp macro="" textlink="">
      <xdr:nvSpPr>
        <xdr:cNvPr id="3" name="Rectangle: Rounded Corners 2">
          <a:extLst>
            <a:ext uri="{FF2B5EF4-FFF2-40B4-BE49-F238E27FC236}">
              <a16:creationId xmlns:a16="http://schemas.microsoft.com/office/drawing/2014/main" id="{AD6B4FD1-6242-80DA-3BF0-6FF9C8BC5692}"/>
            </a:ext>
          </a:extLst>
        </xdr:cNvPr>
        <xdr:cNvSpPr/>
      </xdr:nvSpPr>
      <xdr:spPr>
        <a:xfrm>
          <a:off x="3773715" y="83820"/>
          <a:ext cx="1233714" cy="695234"/>
        </a:xfrm>
        <a:prstGeom prst="roundRect">
          <a:avLst>
            <a:gd name="adj" fmla="val 942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60958</xdr:colOff>
      <xdr:row>4</xdr:row>
      <xdr:rowOff>107243</xdr:rowOff>
    </xdr:from>
    <xdr:to>
      <xdr:col>1</xdr:col>
      <xdr:colOff>275617</xdr:colOff>
      <xdr:row>26</xdr:row>
      <xdr:rowOff>81066</xdr:rowOff>
    </xdr:to>
    <xdr:sp macro="" textlink="">
      <xdr:nvSpPr>
        <xdr:cNvPr id="6" name="Rectangle: Rounded Corners 5">
          <a:extLst>
            <a:ext uri="{FF2B5EF4-FFF2-40B4-BE49-F238E27FC236}">
              <a16:creationId xmlns:a16="http://schemas.microsoft.com/office/drawing/2014/main" id="{BAF0A0A1-7A0A-B3D5-40BA-DCD99B28BBFB}"/>
            </a:ext>
          </a:extLst>
        </xdr:cNvPr>
        <xdr:cNvSpPr/>
      </xdr:nvSpPr>
      <xdr:spPr>
        <a:xfrm rot="5400000">
          <a:off x="-1546594" y="2453704"/>
          <a:ext cx="4037823" cy="822720"/>
        </a:xfrm>
        <a:prstGeom prst="roundRect">
          <a:avLst>
            <a:gd name="adj" fmla="val 776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358151</xdr:colOff>
      <xdr:row>4</xdr:row>
      <xdr:rowOff>113812</xdr:rowOff>
    </xdr:from>
    <xdr:to>
      <xdr:col>3</xdr:col>
      <xdr:colOff>399249</xdr:colOff>
      <xdr:row>8</xdr:row>
      <xdr:rowOff>164353</xdr:rowOff>
    </xdr:to>
    <xdr:sp macro="" textlink="">
      <xdr:nvSpPr>
        <xdr:cNvPr id="7" name="Rectangle: Rounded Corners 6">
          <a:extLst>
            <a:ext uri="{FF2B5EF4-FFF2-40B4-BE49-F238E27FC236}">
              <a16:creationId xmlns:a16="http://schemas.microsoft.com/office/drawing/2014/main" id="{F2406BA2-8DD1-9E21-1522-FF88D516CE3D}"/>
            </a:ext>
          </a:extLst>
        </xdr:cNvPr>
        <xdr:cNvSpPr/>
      </xdr:nvSpPr>
      <xdr:spPr>
        <a:xfrm>
          <a:off x="968777" y="842458"/>
          <a:ext cx="1262351" cy="779188"/>
        </a:xfrm>
        <a:prstGeom prst="roundRect">
          <a:avLst>
            <a:gd name="adj" fmla="val 942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480887</xdr:colOff>
      <xdr:row>4</xdr:row>
      <xdr:rowOff>108698</xdr:rowOff>
    </xdr:from>
    <xdr:to>
      <xdr:col>5</xdr:col>
      <xdr:colOff>598698</xdr:colOff>
      <xdr:row>8</xdr:row>
      <xdr:rowOff>159239</xdr:rowOff>
    </xdr:to>
    <xdr:sp macro="" textlink="">
      <xdr:nvSpPr>
        <xdr:cNvPr id="8" name="Rectangle: Rounded Corners 7">
          <a:extLst>
            <a:ext uri="{FF2B5EF4-FFF2-40B4-BE49-F238E27FC236}">
              <a16:creationId xmlns:a16="http://schemas.microsoft.com/office/drawing/2014/main" id="{FCA1F3AE-0A6A-B7F3-5AE7-4D2D72995DE1}"/>
            </a:ext>
          </a:extLst>
        </xdr:cNvPr>
        <xdr:cNvSpPr/>
      </xdr:nvSpPr>
      <xdr:spPr>
        <a:xfrm>
          <a:off x="2309687" y="846635"/>
          <a:ext cx="1337011" cy="788478"/>
        </a:xfrm>
        <a:prstGeom prst="roundRect">
          <a:avLst>
            <a:gd name="adj" fmla="val 942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75853</xdr:colOff>
      <xdr:row>4</xdr:row>
      <xdr:rowOff>108044</xdr:rowOff>
    </xdr:from>
    <xdr:to>
      <xdr:col>8</xdr:col>
      <xdr:colOff>132294</xdr:colOff>
      <xdr:row>8</xdr:row>
      <xdr:rowOff>167754</xdr:rowOff>
    </xdr:to>
    <xdr:sp macro="" textlink="">
      <xdr:nvSpPr>
        <xdr:cNvPr id="10" name="Rectangle: Rounded Corners 9">
          <a:extLst>
            <a:ext uri="{FF2B5EF4-FFF2-40B4-BE49-F238E27FC236}">
              <a16:creationId xmlns:a16="http://schemas.microsoft.com/office/drawing/2014/main" id="{8C596EA1-F298-A04B-EDB1-6A788328CC25}"/>
            </a:ext>
          </a:extLst>
        </xdr:cNvPr>
        <xdr:cNvSpPr/>
      </xdr:nvSpPr>
      <xdr:spPr>
        <a:xfrm>
          <a:off x="3733453" y="845981"/>
          <a:ext cx="1275641" cy="797647"/>
        </a:xfrm>
        <a:prstGeom prst="roundRect">
          <a:avLst>
            <a:gd name="adj" fmla="val 942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192551</xdr:colOff>
      <xdr:row>1</xdr:row>
      <xdr:rowOff>38100</xdr:rowOff>
    </xdr:from>
    <xdr:to>
      <xdr:col>6</xdr:col>
      <xdr:colOff>68580</xdr:colOff>
      <xdr:row>3</xdr:row>
      <xdr:rowOff>121920</xdr:rowOff>
    </xdr:to>
    <xdr:sp macro="" textlink="">
      <xdr:nvSpPr>
        <xdr:cNvPr id="14" name="TextBox 13">
          <a:extLst>
            <a:ext uri="{FF2B5EF4-FFF2-40B4-BE49-F238E27FC236}">
              <a16:creationId xmlns:a16="http://schemas.microsoft.com/office/drawing/2014/main" id="{5236C8D6-D819-FFB9-2650-3B248ED7E748}"/>
            </a:ext>
          </a:extLst>
        </xdr:cNvPr>
        <xdr:cNvSpPr txBox="1"/>
      </xdr:nvSpPr>
      <xdr:spPr>
        <a:xfrm>
          <a:off x="802151" y="220980"/>
          <a:ext cx="2924029"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Aptos Narrow" panose="020B0004020202020204" pitchFamily="34" charset="0"/>
              <a:cs typeface="Times New Roman" panose="02020603050405020304" pitchFamily="18" charset="0"/>
            </a:rPr>
            <a:t>Hospital</a:t>
          </a:r>
          <a:r>
            <a:rPr lang="en-IN" sz="1400" b="1" baseline="0">
              <a:latin typeface="Aptos Narrow" panose="020B0004020202020204" pitchFamily="34" charset="0"/>
              <a:cs typeface="Times New Roman" panose="02020603050405020304" pitchFamily="18" charset="0"/>
            </a:rPr>
            <a:t> Emergency Room Dashboard</a:t>
          </a:r>
          <a:br>
            <a:rPr lang="en-IN" sz="1800" b="1" baseline="0">
              <a:latin typeface="Aptos Narrow" panose="020B0004020202020204" pitchFamily="34" charset="0"/>
              <a:cs typeface="Times New Roman" panose="02020603050405020304" pitchFamily="18" charset="0"/>
            </a:rPr>
          </a:br>
          <a:r>
            <a:rPr lang="en-IN" sz="1100" b="1" baseline="0">
              <a:latin typeface="Aptos Narrow" panose="020B0004020202020204" pitchFamily="34" charset="0"/>
              <a:cs typeface="Times New Roman" panose="02020603050405020304" pitchFamily="18" charset="0"/>
            </a:rPr>
            <a:t>Monthly Report</a:t>
          </a:r>
          <a:endParaRPr lang="en-IN" sz="1800" b="1">
            <a:latin typeface="Aptos Narrow" panose="020B0004020202020204" pitchFamily="34" charset="0"/>
            <a:cs typeface="Times New Roman" panose="02020603050405020304" pitchFamily="18" charset="0"/>
          </a:endParaRPr>
        </a:p>
      </xdr:txBody>
    </xdr:sp>
    <xdr:clientData/>
  </xdr:twoCellAnchor>
  <xdr:twoCellAnchor editAs="oneCell">
    <xdr:from>
      <xdr:col>0</xdr:col>
      <xdr:colOff>129148</xdr:colOff>
      <xdr:row>0</xdr:row>
      <xdr:rowOff>88668</xdr:rowOff>
    </xdr:from>
    <xdr:to>
      <xdr:col>1</xdr:col>
      <xdr:colOff>290340</xdr:colOff>
      <xdr:row>4</xdr:row>
      <xdr:rowOff>7137</xdr:rowOff>
    </xdr:to>
    <xdr:pic>
      <xdr:nvPicPr>
        <xdr:cNvPr id="17" name="Picture 16">
          <a:extLst>
            <a:ext uri="{FF2B5EF4-FFF2-40B4-BE49-F238E27FC236}">
              <a16:creationId xmlns:a16="http://schemas.microsoft.com/office/drawing/2014/main" id="{F81D3886-6386-E137-744D-638A831A196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767" r="17709"/>
        <a:stretch>
          <a:fillRect/>
        </a:stretch>
      </xdr:blipFill>
      <xdr:spPr>
        <a:xfrm>
          <a:off x="129148" y="88668"/>
          <a:ext cx="770792" cy="649989"/>
        </a:xfrm>
        <a:prstGeom prst="rect">
          <a:avLst/>
        </a:prstGeom>
      </xdr:spPr>
    </xdr:pic>
    <xdr:clientData/>
  </xdr:twoCellAnchor>
  <xdr:twoCellAnchor editAs="absolute">
    <xdr:from>
      <xdr:col>1</xdr:col>
      <xdr:colOff>549196</xdr:colOff>
      <xdr:row>6</xdr:row>
      <xdr:rowOff>34192</xdr:rowOff>
    </xdr:from>
    <xdr:to>
      <xdr:col>3</xdr:col>
      <xdr:colOff>236581</xdr:colOff>
      <xdr:row>7</xdr:row>
      <xdr:rowOff>63500</xdr:rowOff>
    </xdr:to>
    <xdr:sp macro="" textlink="">
      <xdr:nvSpPr>
        <xdr:cNvPr id="18" name="TextBox 17">
          <a:extLst>
            <a:ext uri="{FF2B5EF4-FFF2-40B4-BE49-F238E27FC236}">
              <a16:creationId xmlns:a16="http://schemas.microsoft.com/office/drawing/2014/main" id="{821C97CD-2887-962F-617D-D470FDAB101C}"/>
            </a:ext>
          </a:extLst>
        </xdr:cNvPr>
        <xdr:cNvSpPr txBox="1"/>
      </xdr:nvSpPr>
      <xdr:spPr>
        <a:xfrm>
          <a:off x="1158796" y="1141097"/>
          <a:ext cx="906585" cy="213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50" b="1">
              <a:latin typeface="Aptos Narrow" panose="020B0004020202020204" pitchFamily="34" charset="0"/>
              <a:cs typeface="Times New Roman" panose="02020603050405020304" pitchFamily="18" charset="0"/>
            </a:rPr>
            <a:t>No. of</a:t>
          </a:r>
          <a:r>
            <a:rPr lang="en-IN" sz="850" b="1" baseline="0">
              <a:latin typeface="Aptos Narrow" panose="020B0004020202020204" pitchFamily="34" charset="0"/>
              <a:cs typeface="Times New Roman" panose="02020603050405020304" pitchFamily="18" charset="0"/>
            </a:rPr>
            <a:t> Patients</a:t>
          </a:r>
          <a:endParaRPr lang="en-IN" sz="850" b="1">
            <a:latin typeface="Aptos Narrow" panose="020B0004020202020204" pitchFamily="34" charset="0"/>
            <a:cs typeface="Times New Roman" panose="02020603050405020304" pitchFamily="18" charset="0"/>
          </a:endParaRPr>
        </a:p>
      </xdr:txBody>
    </xdr:sp>
    <xdr:clientData/>
  </xdr:twoCellAnchor>
  <xdr:twoCellAnchor editAs="absolute">
    <xdr:from>
      <xdr:col>3</xdr:col>
      <xdr:colOff>500350</xdr:colOff>
      <xdr:row>5</xdr:row>
      <xdr:rowOff>151423</xdr:rowOff>
    </xdr:from>
    <xdr:to>
      <xdr:col>5</xdr:col>
      <xdr:colOff>598043</xdr:colOff>
      <xdr:row>7</xdr:row>
      <xdr:rowOff>112346</xdr:rowOff>
    </xdr:to>
    <xdr:sp macro="" textlink="">
      <xdr:nvSpPr>
        <xdr:cNvPr id="19" name="TextBox 18">
          <a:extLst>
            <a:ext uri="{FF2B5EF4-FFF2-40B4-BE49-F238E27FC236}">
              <a16:creationId xmlns:a16="http://schemas.microsoft.com/office/drawing/2014/main" id="{0AC15A5E-8D3F-A60F-344C-234DCFF17ED7}"/>
            </a:ext>
          </a:extLst>
        </xdr:cNvPr>
        <xdr:cNvSpPr txBox="1"/>
      </xdr:nvSpPr>
      <xdr:spPr>
        <a:xfrm>
          <a:off x="2329150" y="1073844"/>
          <a:ext cx="1316893" cy="32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50" b="1">
              <a:latin typeface="Aptos Narrow" panose="020B0004020202020204" pitchFamily="34" charset="0"/>
              <a:cs typeface="Times New Roman" panose="02020603050405020304" pitchFamily="18" charset="0"/>
            </a:rPr>
            <a:t>Avg.</a:t>
          </a:r>
          <a:r>
            <a:rPr lang="en-IN" sz="850" b="1" baseline="0">
              <a:latin typeface="Aptos Narrow" panose="020B0004020202020204" pitchFamily="34" charset="0"/>
              <a:cs typeface="Times New Roman" panose="02020603050405020304" pitchFamily="18" charset="0"/>
            </a:rPr>
            <a:t> Wait Time (Min)</a:t>
          </a:r>
          <a:endParaRPr lang="en-IN" sz="850" b="1">
            <a:latin typeface="Aptos Narrow" panose="020B0004020202020204" pitchFamily="34" charset="0"/>
            <a:cs typeface="Times New Roman" panose="02020603050405020304" pitchFamily="18" charset="0"/>
          </a:endParaRPr>
        </a:p>
      </xdr:txBody>
    </xdr:sp>
    <xdr:clientData/>
  </xdr:twoCellAnchor>
  <xdr:twoCellAnchor editAs="absolute">
    <xdr:from>
      <xdr:col>6</xdr:col>
      <xdr:colOff>100788</xdr:colOff>
      <xdr:row>6</xdr:row>
      <xdr:rowOff>34192</xdr:rowOff>
    </xdr:from>
    <xdr:to>
      <xdr:col>8</xdr:col>
      <xdr:colOff>125213</xdr:colOff>
      <xdr:row>7</xdr:row>
      <xdr:rowOff>63500</xdr:rowOff>
    </xdr:to>
    <xdr:sp macro="" textlink="">
      <xdr:nvSpPr>
        <xdr:cNvPr id="22" name="TextBox 21">
          <a:extLst>
            <a:ext uri="{FF2B5EF4-FFF2-40B4-BE49-F238E27FC236}">
              <a16:creationId xmlns:a16="http://schemas.microsoft.com/office/drawing/2014/main" id="{06E20002-B1DA-590C-9759-2168BA6C4BB3}"/>
            </a:ext>
          </a:extLst>
        </xdr:cNvPr>
        <xdr:cNvSpPr txBox="1"/>
      </xdr:nvSpPr>
      <xdr:spPr>
        <a:xfrm>
          <a:off x="3758388" y="1141097"/>
          <a:ext cx="1243625" cy="213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50" b="1">
              <a:latin typeface="Aptos Narrow" panose="020B0004020202020204" pitchFamily="34" charset="0"/>
              <a:cs typeface="Times New Roman" panose="02020603050405020304" pitchFamily="18" charset="0"/>
            </a:rPr>
            <a:t>Patient</a:t>
          </a:r>
          <a:r>
            <a:rPr lang="en-IN" sz="850" b="1" baseline="0">
              <a:latin typeface="Aptos Narrow" panose="020B0004020202020204" pitchFamily="34" charset="0"/>
              <a:cs typeface="Times New Roman" panose="02020603050405020304" pitchFamily="18" charset="0"/>
            </a:rPr>
            <a:t> Satisfaction Score </a:t>
          </a:r>
          <a:endParaRPr lang="en-IN" sz="850" b="1">
            <a:latin typeface="Aptos Narrow" panose="020B0004020202020204" pitchFamily="34" charset="0"/>
            <a:cs typeface="Times New Roman" panose="02020603050405020304" pitchFamily="18" charset="0"/>
          </a:endParaRPr>
        </a:p>
      </xdr:txBody>
    </xdr:sp>
    <xdr:clientData/>
  </xdr:twoCellAnchor>
  <xdr:twoCellAnchor editAs="absolute">
    <xdr:from>
      <xdr:col>1</xdr:col>
      <xdr:colOff>549196</xdr:colOff>
      <xdr:row>5</xdr:row>
      <xdr:rowOff>19541</xdr:rowOff>
    </xdr:from>
    <xdr:to>
      <xdr:col>3</xdr:col>
      <xdr:colOff>236581</xdr:colOff>
      <xdr:row>6</xdr:row>
      <xdr:rowOff>48848</xdr:rowOff>
    </xdr:to>
    <xdr:sp macro="" textlink="'Pivot Report'!A8">
      <xdr:nvSpPr>
        <xdr:cNvPr id="25" name="TextBox 24">
          <a:extLst>
            <a:ext uri="{FF2B5EF4-FFF2-40B4-BE49-F238E27FC236}">
              <a16:creationId xmlns:a16="http://schemas.microsoft.com/office/drawing/2014/main" id="{9BFF17D8-71FD-03BC-894C-8F476CD7EFFE}"/>
            </a:ext>
          </a:extLst>
        </xdr:cNvPr>
        <xdr:cNvSpPr txBox="1"/>
      </xdr:nvSpPr>
      <xdr:spPr>
        <a:xfrm>
          <a:off x="1158796" y="941962"/>
          <a:ext cx="906585" cy="213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4B16C04-6876-4595-B073-072DB170C3E5}" type="TxLink">
            <a:rPr lang="en-US" sz="1400" b="1" i="0" u="none" strike="noStrike">
              <a:solidFill>
                <a:srgbClr val="000000"/>
              </a:solidFill>
              <a:latin typeface="Calibri"/>
              <a:ea typeface="Calibri"/>
              <a:cs typeface="Calibri"/>
            </a:rPr>
            <a:pPr algn="ctr"/>
            <a:t>519</a:t>
          </a:fld>
          <a:endParaRPr lang="en-IN" sz="1000" b="1">
            <a:latin typeface="Aptos Narrow" panose="020B0004020202020204" pitchFamily="34" charset="0"/>
            <a:cs typeface="Times New Roman" panose="02020603050405020304" pitchFamily="18" charset="0"/>
          </a:endParaRPr>
        </a:p>
      </xdr:txBody>
    </xdr:sp>
    <xdr:clientData/>
  </xdr:twoCellAnchor>
  <xdr:twoCellAnchor editAs="absolute">
    <xdr:from>
      <xdr:col>4</xdr:col>
      <xdr:colOff>100789</xdr:colOff>
      <xdr:row>5</xdr:row>
      <xdr:rowOff>19541</xdr:rowOff>
    </xdr:from>
    <xdr:to>
      <xdr:col>5</xdr:col>
      <xdr:colOff>397774</xdr:colOff>
      <xdr:row>6</xdr:row>
      <xdr:rowOff>48848</xdr:rowOff>
    </xdr:to>
    <xdr:sp macro="" textlink="'Pivot Report'!A14">
      <xdr:nvSpPr>
        <xdr:cNvPr id="26" name="TextBox 25">
          <a:extLst>
            <a:ext uri="{FF2B5EF4-FFF2-40B4-BE49-F238E27FC236}">
              <a16:creationId xmlns:a16="http://schemas.microsoft.com/office/drawing/2014/main" id="{69329653-16AA-AA9E-D7FB-E47CA22B1611}"/>
            </a:ext>
          </a:extLst>
        </xdr:cNvPr>
        <xdr:cNvSpPr txBox="1"/>
      </xdr:nvSpPr>
      <xdr:spPr>
        <a:xfrm>
          <a:off x="2539189" y="941962"/>
          <a:ext cx="906585" cy="213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4E2072F-18A3-4C68-A425-6B9399045153}" type="TxLink">
            <a:rPr lang="en-US" sz="1400" b="1" i="0" u="none" strike="noStrike">
              <a:solidFill>
                <a:srgbClr val="000000"/>
              </a:solidFill>
              <a:latin typeface="Calibri"/>
              <a:ea typeface="Calibri"/>
              <a:cs typeface="Calibri"/>
            </a:rPr>
            <a:pPr algn="ctr"/>
            <a:t>35.81</a:t>
          </a:fld>
          <a:endParaRPr lang="en-US" sz="1400" b="1" i="0" u="none" strike="noStrike">
            <a:solidFill>
              <a:srgbClr val="000000"/>
            </a:solidFill>
            <a:latin typeface="Calibri"/>
            <a:ea typeface="Calibri"/>
            <a:cs typeface="Calibri"/>
          </a:endParaRPr>
        </a:p>
      </xdr:txBody>
    </xdr:sp>
    <xdr:clientData/>
  </xdr:twoCellAnchor>
  <xdr:twoCellAnchor editAs="absolute">
    <xdr:from>
      <xdr:col>6</xdr:col>
      <xdr:colOff>270774</xdr:colOff>
      <xdr:row>5</xdr:row>
      <xdr:rowOff>19541</xdr:rowOff>
    </xdr:from>
    <xdr:to>
      <xdr:col>7</xdr:col>
      <xdr:colOff>568737</xdr:colOff>
      <xdr:row>6</xdr:row>
      <xdr:rowOff>48848</xdr:rowOff>
    </xdr:to>
    <xdr:sp macro="" textlink="'Pivot Report'!A19">
      <xdr:nvSpPr>
        <xdr:cNvPr id="29" name="TextBox 28">
          <a:extLst>
            <a:ext uri="{FF2B5EF4-FFF2-40B4-BE49-F238E27FC236}">
              <a16:creationId xmlns:a16="http://schemas.microsoft.com/office/drawing/2014/main" id="{EB7E64BE-EF21-A9BB-085B-56DA79F15EBD}"/>
            </a:ext>
          </a:extLst>
        </xdr:cNvPr>
        <xdr:cNvSpPr txBox="1"/>
      </xdr:nvSpPr>
      <xdr:spPr>
        <a:xfrm>
          <a:off x="3928374" y="941962"/>
          <a:ext cx="907563" cy="213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99F1704-821F-430D-AD3D-FD2F650F37B8}" type="TxLink">
            <a:rPr lang="en-US" sz="1400" b="1" i="0" u="none" strike="noStrike">
              <a:solidFill>
                <a:srgbClr val="000000"/>
              </a:solidFill>
              <a:latin typeface="Calibri"/>
              <a:ea typeface="Calibri"/>
              <a:cs typeface="Calibri"/>
            </a:rPr>
            <a:pPr algn="ctr"/>
            <a:t>5.1</a:t>
          </a:fld>
          <a:endParaRPr lang="en-IN" sz="1000" b="1">
            <a:latin typeface="Aptos Narrow" panose="020B0004020202020204" pitchFamily="34" charset="0"/>
            <a:cs typeface="Times New Roman" panose="02020603050405020304" pitchFamily="18" charset="0"/>
          </a:endParaRPr>
        </a:p>
      </xdr:txBody>
    </xdr:sp>
    <xdr:clientData/>
  </xdr:twoCellAnchor>
  <xdr:twoCellAnchor editAs="oneCell">
    <xdr:from>
      <xdr:col>1</xdr:col>
      <xdr:colOff>366046</xdr:colOff>
      <xdr:row>4</xdr:row>
      <xdr:rowOff>134694</xdr:rowOff>
    </xdr:from>
    <xdr:to>
      <xdr:col>2</xdr:col>
      <xdr:colOff>54787</xdr:colOff>
      <xdr:row>6</xdr:row>
      <xdr:rowOff>73688</xdr:rowOff>
    </xdr:to>
    <xdr:pic>
      <xdr:nvPicPr>
        <xdr:cNvPr id="31" name="Graphic 30" descr="User with solid fill">
          <a:extLst>
            <a:ext uri="{FF2B5EF4-FFF2-40B4-BE49-F238E27FC236}">
              <a16:creationId xmlns:a16="http://schemas.microsoft.com/office/drawing/2014/main" id="{F315E059-BCAF-2BFE-1AB9-429E4DB2F1E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75646" y="872631"/>
          <a:ext cx="298341" cy="307962"/>
        </a:xfrm>
        <a:prstGeom prst="rect">
          <a:avLst/>
        </a:prstGeom>
      </xdr:spPr>
    </xdr:pic>
    <xdr:clientData/>
  </xdr:twoCellAnchor>
  <xdr:twoCellAnchor editAs="oneCell">
    <xdr:from>
      <xdr:col>3</xdr:col>
      <xdr:colOff>495292</xdr:colOff>
      <xdr:row>4</xdr:row>
      <xdr:rowOff>150528</xdr:rowOff>
    </xdr:from>
    <xdr:to>
      <xdr:col>4</xdr:col>
      <xdr:colOff>153608</xdr:colOff>
      <xdr:row>6</xdr:row>
      <xdr:rowOff>53979</xdr:rowOff>
    </xdr:to>
    <xdr:pic>
      <xdr:nvPicPr>
        <xdr:cNvPr id="15" name="Graphic 14" descr="Hourglass Finished with solid fill">
          <a:extLst>
            <a:ext uri="{FF2B5EF4-FFF2-40B4-BE49-F238E27FC236}">
              <a16:creationId xmlns:a16="http://schemas.microsoft.com/office/drawing/2014/main" id="{192B4E7D-4B22-6978-7468-A6A8DB8C932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324092" y="888465"/>
          <a:ext cx="267916" cy="272419"/>
        </a:xfrm>
        <a:prstGeom prst="rect">
          <a:avLst/>
        </a:prstGeom>
      </xdr:spPr>
    </xdr:pic>
    <xdr:clientData/>
  </xdr:twoCellAnchor>
  <xdr:twoCellAnchor editAs="oneCell">
    <xdr:from>
      <xdr:col>6</xdr:col>
      <xdr:colOff>119230</xdr:colOff>
      <xdr:row>4</xdr:row>
      <xdr:rowOff>134854</xdr:rowOff>
    </xdr:from>
    <xdr:to>
      <xdr:col>6</xdr:col>
      <xdr:colOff>391770</xdr:colOff>
      <xdr:row>6</xdr:row>
      <xdr:rowOff>40299</xdr:rowOff>
    </xdr:to>
    <xdr:pic>
      <xdr:nvPicPr>
        <xdr:cNvPr id="20" name="Graphic 19" descr="Star with solid fill">
          <a:extLst>
            <a:ext uri="{FF2B5EF4-FFF2-40B4-BE49-F238E27FC236}">
              <a16:creationId xmlns:a16="http://schemas.microsoft.com/office/drawing/2014/main" id="{F7F18973-8528-3192-65F3-6E3B44A2A36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76830" y="872791"/>
          <a:ext cx="272540" cy="274413"/>
        </a:xfrm>
        <a:prstGeom prst="rect">
          <a:avLst/>
        </a:prstGeom>
      </xdr:spPr>
    </xdr:pic>
    <xdr:clientData/>
  </xdr:twoCellAnchor>
  <xdr:twoCellAnchor editAs="oneCell">
    <xdr:from>
      <xdr:col>0</xdr:col>
      <xdr:colOff>131630</xdr:colOff>
      <xdr:row>6</xdr:row>
      <xdr:rowOff>98078</xdr:rowOff>
    </xdr:from>
    <xdr:to>
      <xdr:col>1</xdr:col>
      <xdr:colOff>215605</xdr:colOff>
      <xdr:row>26</xdr:row>
      <xdr:rowOff>15089</xdr:rowOff>
    </xdr:to>
    <mc:AlternateContent xmlns:mc="http://schemas.openxmlformats.org/markup-compatibility/2006" xmlns:a14="http://schemas.microsoft.com/office/drawing/2010/main">
      <mc:Choice Requires="a14">
        <xdr:graphicFrame macro="">
          <xdr:nvGraphicFramePr>
            <xdr:cNvPr id="9" name="Date (Month) 1">
              <a:extLst>
                <a:ext uri="{FF2B5EF4-FFF2-40B4-BE49-F238E27FC236}">
                  <a16:creationId xmlns:a16="http://schemas.microsoft.com/office/drawing/2014/main" id="{FF3A14B9-A508-4EEB-B4FF-9AC25507A820}"/>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31630" y="1197116"/>
              <a:ext cx="692110" cy="3580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220731</xdr:colOff>
      <xdr:row>6</xdr:row>
      <xdr:rowOff>129490</xdr:rowOff>
    </xdr:from>
    <xdr:to>
      <xdr:col>3</xdr:col>
      <xdr:colOff>536954</xdr:colOff>
      <xdr:row>9</xdr:row>
      <xdr:rowOff>122396</xdr:rowOff>
    </xdr:to>
    <xdr:graphicFrame macro="">
      <xdr:nvGraphicFramePr>
        <xdr:cNvPr id="23" name="Chart 22">
          <a:hlinkClick xmlns:r="http://schemas.openxmlformats.org/officeDocument/2006/relationships" r:id="rId8"/>
          <a:extLst>
            <a:ext uri="{FF2B5EF4-FFF2-40B4-BE49-F238E27FC236}">
              <a16:creationId xmlns:a16="http://schemas.microsoft.com/office/drawing/2014/main" id="{4FF2DDCB-E37A-414B-8C6E-BACFA4EFF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333375</xdr:colOff>
      <xdr:row>6</xdr:row>
      <xdr:rowOff>161636</xdr:rowOff>
    </xdr:from>
    <xdr:to>
      <xdr:col>6</xdr:col>
      <xdr:colOff>130969</xdr:colOff>
      <xdr:row>9</xdr:row>
      <xdr:rowOff>122039</xdr:rowOff>
    </xdr:to>
    <xdr:graphicFrame macro="">
      <xdr:nvGraphicFramePr>
        <xdr:cNvPr id="24" name="Chart 23">
          <a:hlinkClick xmlns:r="http://schemas.openxmlformats.org/officeDocument/2006/relationships" r:id="rId10"/>
          <a:extLst>
            <a:ext uri="{FF2B5EF4-FFF2-40B4-BE49-F238E27FC236}">
              <a16:creationId xmlns:a16="http://schemas.microsoft.com/office/drawing/2014/main" id="{344B7999-5B6B-4F18-9455-71ED80E53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571500</xdr:colOff>
      <xdr:row>5</xdr:row>
      <xdr:rowOff>71438</xdr:rowOff>
    </xdr:from>
    <xdr:to>
      <xdr:col>8</xdr:col>
      <xdr:colOff>180975</xdr:colOff>
      <xdr:row>10</xdr:row>
      <xdr:rowOff>76201</xdr:rowOff>
    </xdr:to>
    <xdr:graphicFrame macro="">
      <xdr:nvGraphicFramePr>
        <xdr:cNvPr id="28" name="Chart 27">
          <a:hlinkClick xmlns:r="http://schemas.openxmlformats.org/officeDocument/2006/relationships" r:id="rId12"/>
          <a:extLst>
            <a:ext uri="{FF2B5EF4-FFF2-40B4-BE49-F238E27FC236}">
              <a16:creationId xmlns:a16="http://schemas.microsoft.com/office/drawing/2014/main" id="{947A4056-6C46-4CA2-9F82-86FECADE2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204600</xdr:colOff>
      <xdr:row>0</xdr:row>
      <xdr:rowOff>83819</xdr:rowOff>
    </xdr:from>
    <xdr:to>
      <xdr:col>11</xdr:col>
      <xdr:colOff>29882</xdr:colOff>
      <xdr:row>9</xdr:row>
      <xdr:rowOff>85493</xdr:rowOff>
    </xdr:to>
    <xdr:grpSp>
      <xdr:nvGrpSpPr>
        <xdr:cNvPr id="47" name="Group 46">
          <a:extLst>
            <a:ext uri="{FF2B5EF4-FFF2-40B4-BE49-F238E27FC236}">
              <a16:creationId xmlns:a16="http://schemas.microsoft.com/office/drawing/2014/main" id="{93AAA734-7390-846A-522B-14B6E3F9CA93}"/>
            </a:ext>
          </a:extLst>
        </xdr:cNvPr>
        <xdr:cNvGrpSpPr/>
      </xdr:nvGrpSpPr>
      <xdr:grpSpPr>
        <a:xfrm>
          <a:off x="5068430" y="83819"/>
          <a:ext cx="1649218" cy="1679695"/>
          <a:chOff x="5069085" y="83819"/>
          <a:chExt cx="1500618" cy="1470199"/>
        </a:xfrm>
      </xdr:grpSpPr>
      <xdr:sp macro="" textlink="">
        <xdr:nvSpPr>
          <xdr:cNvPr id="4" name="Rectangle: Rounded Corners 3">
            <a:extLst>
              <a:ext uri="{FF2B5EF4-FFF2-40B4-BE49-F238E27FC236}">
                <a16:creationId xmlns:a16="http://schemas.microsoft.com/office/drawing/2014/main" id="{33E180A4-5DEB-DA46-E5CF-AA6ACFFA9C5E}"/>
              </a:ext>
            </a:extLst>
          </xdr:cNvPr>
          <xdr:cNvSpPr/>
        </xdr:nvSpPr>
        <xdr:spPr>
          <a:xfrm>
            <a:off x="5069085" y="83819"/>
            <a:ext cx="1500618" cy="1378036"/>
          </a:xfrm>
          <a:prstGeom prst="roundRect">
            <a:avLst>
              <a:gd name="adj" fmla="val 4381"/>
            </a:avLst>
          </a:prstGeom>
          <a:solidFill>
            <a:schemeClr val="bg1">
              <a:lumMod val="95000"/>
            </a:schemeClr>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3" name="Chart 32">
            <a:extLst>
              <a:ext uri="{FF2B5EF4-FFF2-40B4-BE49-F238E27FC236}">
                <a16:creationId xmlns:a16="http://schemas.microsoft.com/office/drawing/2014/main" id="{CFCE2ADD-649E-4DD9-992A-3643BE15A0F6}"/>
              </a:ext>
            </a:extLst>
          </xdr:cNvPr>
          <xdr:cNvGraphicFramePr>
            <a:graphicFrameLocks/>
          </xdr:cNvGraphicFramePr>
        </xdr:nvGraphicFramePr>
        <xdr:xfrm>
          <a:off x="5090666" y="83819"/>
          <a:ext cx="1440214" cy="1470199"/>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34" name="TextBox 33">
            <a:extLst>
              <a:ext uri="{FF2B5EF4-FFF2-40B4-BE49-F238E27FC236}">
                <a16:creationId xmlns:a16="http://schemas.microsoft.com/office/drawing/2014/main" id="{2A118958-E56E-4894-B03B-9A7CD2B4AA92}"/>
              </a:ext>
            </a:extLst>
          </xdr:cNvPr>
          <xdr:cNvSpPr txBox="1"/>
        </xdr:nvSpPr>
        <xdr:spPr>
          <a:xfrm>
            <a:off x="5149806" y="1217461"/>
            <a:ext cx="1344602" cy="2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50" b="1">
                <a:latin typeface="Aptos Narrow" panose="020B0004020202020204" pitchFamily="34" charset="0"/>
                <a:cs typeface="Times New Roman" panose="02020603050405020304" pitchFamily="18" charset="0"/>
              </a:rPr>
              <a:t>Patient</a:t>
            </a:r>
            <a:r>
              <a:rPr lang="en-IN" sz="850" b="1" baseline="0">
                <a:latin typeface="Aptos Narrow" panose="020B0004020202020204" pitchFamily="34" charset="0"/>
                <a:cs typeface="Times New Roman" panose="02020603050405020304" pitchFamily="18" charset="0"/>
              </a:rPr>
              <a:t>s Attended Status</a:t>
            </a:r>
            <a:endParaRPr lang="en-IN" sz="850" b="1">
              <a:latin typeface="Aptos Narrow" panose="020B0004020202020204" pitchFamily="34" charset="0"/>
              <a:cs typeface="Times New Roman" panose="02020603050405020304" pitchFamily="18" charset="0"/>
            </a:endParaRPr>
          </a:p>
        </xdr:txBody>
      </xdr:sp>
    </xdr:grpSp>
    <xdr:clientData/>
  </xdr:twoCellAnchor>
  <xdr:twoCellAnchor>
    <xdr:from>
      <xdr:col>11</xdr:col>
      <xdr:colOff>97117</xdr:colOff>
      <xdr:row>0</xdr:row>
      <xdr:rowOff>93112</xdr:rowOff>
    </xdr:from>
    <xdr:to>
      <xdr:col>13</xdr:col>
      <xdr:colOff>548268</xdr:colOff>
      <xdr:row>8</xdr:row>
      <xdr:rowOff>167286</xdr:rowOff>
    </xdr:to>
    <xdr:grpSp>
      <xdr:nvGrpSpPr>
        <xdr:cNvPr id="48" name="Group 47">
          <a:extLst>
            <a:ext uri="{FF2B5EF4-FFF2-40B4-BE49-F238E27FC236}">
              <a16:creationId xmlns:a16="http://schemas.microsoft.com/office/drawing/2014/main" id="{AC402902-D647-D6F8-1AF1-965E2D65C49D}"/>
            </a:ext>
          </a:extLst>
        </xdr:cNvPr>
        <xdr:cNvGrpSpPr/>
      </xdr:nvGrpSpPr>
      <xdr:grpSpPr>
        <a:xfrm>
          <a:off x="6784883" y="93112"/>
          <a:ext cx="1667108" cy="1565748"/>
          <a:chOff x="6630853" y="83819"/>
          <a:chExt cx="1414778" cy="1383145"/>
        </a:xfrm>
      </xdr:grpSpPr>
      <xdr:sp macro="" textlink="">
        <xdr:nvSpPr>
          <xdr:cNvPr id="5" name="Rectangle: Rounded Corners 4">
            <a:extLst>
              <a:ext uri="{FF2B5EF4-FFF2-40B4-BE49-F238E27FC236}">
                <a16:creationId xmlns:a16="http://schemas.microsoft.com/office/drawing/2014/main" id="{B5F36077-38B6-A6C1-5032-47E9574E7FA6}"/>
              </a:ext>
            </a:extLst>
          </xdr:cNvPr>
          <xdr:cNvSpPr/>
        </xdr:nvSpPr>
        <xdr:spPr>
          <a:xfrm>
            <a:off x="6638076" y="83819"/>
            <a:ext cx="1371229" cy="1378036"/>
          </a:xfrm>
          <a:prstGeom prst="roundRect">
            <a:avLst>
              <a:gd name="adj" fmla="val 4381"/>
            </a:avLst>
          </a:prstGeom>
          <a:solidFill>
            <a:schemeClr val="bg1">
              <a:lumMod val="95000"/>
            </a:schemeClr>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D3421663-1657-4B4B-8795-D5E24B5F30FA}"/>
              </a:ext>
            </a:extLst>
          </xdr:cNvPr>
          <xdr:cNvGraphicFramePr>
            <a:graphicFrameLocks/>
          </xdr:cNvGraphicFramePr>
        </xdr:nvGraphicFramePr>
        <xdr:xfrm>
          <a:off x="6630853" y="83820"/>
          <a:ext cx="1414778" cy="1288721"/>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36" name="TextBox 35">
            <a:extLst>
              <a:ext uri="{FF2B5EF4-FFF2-40B4-BE49-F238E27FC236}">
                <a16:creationId xmlns:a16="http://schemas.microsoft.com/office/drawing/2014/main" id="{FFBAE2F5-11DD-A39C-AD9A-65155193675D}"/>
              </a:ext>
            </a:extLst>
          </xdr:cNvPr>
          <xdr:cNvSpPr txBox="1"/>
        </xdr:nvSpPr>
        <xdr:spPr>
          <a:xfrm>
            <a:off x="6657359" y="1252929"/>
            <a:ext cx="1343871" cy="2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50" b="1">
                <a:latin typeface="Aptos Narrow" panose="020B0004020202020204" pitchFamily="34" charset="0"/>
                <a:cs typeface="Times New Roman" panose="02020603050405020304" pitchFamily="18" charset="0"/>
              </a:rPr>
              <a:t>Patients by</a:t>
            </a:r>
            <a:r>
              <a:rPr lang="en-IN" sz="850" b="1" baseline="0">
                <a:latin typeface="Aptos Narrow" panose="020B0004020202020204" pitchFamily="34" charset="0"/>
                <a:cs typeface="Times New Roman" panose="02020603050405020304" pitchFamily="18" charset="0"/>
              </a:rPr>
              <a:t> Gender</a:t>
            </a:r>
            <a:endParaRPr lang="en-IN" sz="850" b="1">
              <a:latin typeface="Aptos Narrow" panose="020B0004020202020204" pitchFamily="34" charset="0"/>
              <a:cs typeface="Times New Roman" panose="02020603050405020304" pitchFamily="18" charset="0"/>
            </a:endParaRPr>
          </a:p>
        </xdr:txBody>
      </xdr:sp>
    </xdr:grpSp>
    <xdr:clientData/>
  </xdr:twoCellAnchor>
  <xdr:twoCellAnchor>
    <xdr:from>
      <xdr:col>1</xdr:col>
      <xdr:colOff>379511</xdr:colOff>
      <xdr:row>18</xdr:row>
      <xdr:rowOff>76460</xdr:rowOff>
    </xdr:from>
    <xdr:to>
      <xdr:col>7</xdr:col>
      <xdr:colOff>313070</xdr:colOff>
      <xdr:row>26</xdr:row>
      <xdr:rowOff>110756</xdr:rowOff>
    </xdr:to>
    <xdr:grpSp>
      <xdr:nvGrpSpPr>
        <xdr:cNvPr id="32" name="Group 31">
          <a:extLst>
            <a:ext uri="{FF2B5EF4-FFF2-40B4-BE49-F238E27FC236}">
              <a16:creationId xmlns:a16="http://schemas.microsoft.com/office/drawing/2014/main" id="{C8A5DAB7-740D-5F2E-9827-0703B82965BA}"/>
            </a:ext>
          </a:extLst>
        </xdr:cNvPr>
        <xdr:cNvGrpSpPr/>
      </xdr:nvGrpSpPr>
      <xdr:grpSpPr>
        <a:xfrm>
          <a:off x="987490" y="3432503"/>
          <a:ext cx="3581431" cy="1525870"/>
          <a:chOff x="977707" y="2430667"/>
          <a:chExt cx="4011113" cy="1609716"/>
        </a:xfrm>
      </xdr:grpSpPr>
      <xdr:sp macro="" textlink="">
        <xdr:nvSpPr>
          <xdr:cNvPr id="12" name="Rectangle: Rounded Corners 11">
            <a:extLst>
              <a:ext uri="{FF2B5EF4-FFF2-40B4-BE49-F238E27FC236}">
                <a16:creationId xmlns:a16="http://schemas.microsoft.com/office/drawing/2014/main" id="{3046D601-0B88-4107-833E-784F0DCD9866}"/>
              </a:ext>
            </a:extLst>
          </xdr:cNvPr>
          <xdr:cNvSpPr/>
        </xdr:nvSpPr>
        <xdr:spPr>
          <a:xfrm>
            <a:off x="977707" y="2430667"/>
            <a:ext cx="4011113" cy="1609716"/>
          </a:xfrm>
          <a:prstGeom prst="roundRect">
            <a:avLst>
              <a:gd name="adj" fmla="val 26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7" name="Chart 36">
            <a:extLst>
              <a:ext uri="{FF2B5EF4-FFF2-40B4-BE49-F238E27FC236}">
                <a16:creationId xmlns:a16="http://schemas.microsoft.com/office/drawing/2014/main" id="{A95379B8-5C7D-4808-84A3-AC30EAB8F4AE}"/>
              </a:ext>
            </a:extLst>
          </xdr:cNvPr>
          <xdr:cNvGraphicFramePr>
            <a:graphicFrameLocks/>
          </xdr:cNvGraphicFramePr>
        </xdr:nvGraphicFramePr>
        <xdr:xfrm>
          <a:off x="1107535" y="2449585"/>
          <a:ext cx="3720484" cy="1469843"/>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38" name="TextBox 37">
            <a:extLst>
              <a:ext uri="{FF2B5EF4-FFF2-40B4-BE49-F238E27FC236}">
                <a16:creationId xmlns:a16="http://schemas.microsoft.com/office/drawing/2014/main" id="{BEDFEBA5-8232-A0B4-01C2-711FC14F6292}"/>
              </a:ext>
            </a:extLst>
          </xdr:cNvPr>
          <xdr:cNvSpPr txBox="1"/>
        </xdr:nvSpPr>
        <xdr:spPr>
          <a:xfrm>
            <a:off x="2229099" y="3795981"/>
            <a:ext cx="1341126" cy="209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latin typeface="Aptos Narrow" panose="020B0004020202020204" pitchFamily="34" charset="0"/>
                <a:cs typeface="Times New Roman" panose="02020603050405020304" pitchFamily="18" charset="0"/>
              </a:rPr>
              <a:t>No.</a:t>
            </a:r>
            <a:r>
              <a:rPr lang="en-IN" sz="1000" b="1" baseline="0">
                <a:latin typeface="Aptos Narrow" panose="020B0004020202020204" pitchFamily="34" charset="0"/>
                <a:cs typeface="Times New Roman" panose="02020603050405020304" pitchFamily="18" charset="0"/>
              </a:rPr>
              <a:t> of </a:t>
            </a:r>
            <a:r>
              <a:rPr lang="en-IN" sz="1000" b="1">
                <a:latin typeface="Aptos Narrow" panose="020B0004020202020204" pitchFamily="34" charset="0"/>
                <a:cs typeface="Times New Roman" panose="02020603050405020304" pitchFamily="18" charset="0"/>
              </a:rPr>
              <a:t>Patient</a:t>
            </a:r>
            <a:r>
              <a:rPr lang="en-IN" sz="1000" b="1" baseline="0">
                <a:latin typeface="Aptos Narrow" panose="020B0004020202020204" pitchFamily="34" charset="0"/>
                <a:cs typeface="Times New Roman" panose="02020603050405020304" pitchFamily="18" charset="0"/>
              </a:rPr>
              <a:t>s by Age Group</a:t>
            </a:r>
            <a:endParaRPr lang="en-IN" sz="1000" b="1">
              <a:latin typeface="Aptos Narrow" panose="020B0004020202020204" pitchFamily="34" charset="0"/>
              <a:cs typeface="Times New Roman" panose="02020603050405020304" pitchFamily="18" charset="0"/>
            </a:endParaRPr>
          </a:p>
        </xdr:txBody>
      </xdr:sp>
    </xdr:grpSp>
    <xdr:clientData/>
  </xdr:twoCellAnchor>
  <xdr:twoCellAnchor>
    <xdr:from>
      <xdr:col>1</xdr:col>
      <xdr:colOff>377908</xdr:colOff>
      <xdr:row>9</xdr:row>
      <xdr:rowOff>55578</xdr:rowOff>
    </xdr:from>
    <xdr:to>
      <xdr:col>7</xdr:col>
      <xdr:colOff>349665</xdr:colOff>
      <xdr:row>18</xdr:row>
      <xdr:rowOff>30082</xdr:rowOff>
    </xdr:to>
    <xdr:grpSp>
      <xdr:nvGrpSpPr>
        <xdr:cNvPr id="46" name="Group 45">
          <a:extLst>
            <a:ext uri="{FF2B5EF4-FFF2-40B4-BE49-F238E27FC236}">
              <a16:creationId xmlns:a16="http://schemas.microsoft.com/office/drawing/2014/main" id="{2726C351-2E87-7842-CDDB-29E353BC2451}"/>
            </a:ext>
          </a:extLst>
        </xdr:cNvPr>
        <xdr:cNvGrpSpPr/>
      </xdr:nvGrpSpPr>
      <xdr:grpSpPr>
        <a:xfrm>
          <a:off x="985887" y="1733599"/>
          <a:ext cx="3619629" cy="1652526"/>
          <a:chOff x="5085231" y="1618866"/>
          <a:chExt cx="3004209" cy="1777708"/>
        </a:xfrm>
      </xdr:grpSpPr>
      <xdr:sp macro="" textlink="">
        <xdr:nvSpPr>
          <xdr:cNvPr id="13" name="Rectangle: Rounded Corners 12">
            <a:extLst>
              <a:ext uri="{FF2B5EF4-FFF2-40B4-BE49-F238E27FC236}">
                <a16:creationId xmlns:a16="http://schemas.microsoft.com/office/drawing/2014/main" id="{7BCEC4D0-8C36-079E-69A5-372F10F60149}"/>
              </a:ext>
            </a:extLst>
          </xdr:cNvPr>
          <xdr:cNvSpPr/>
        </xdr:nvSpPr>
        <xdr:spPr>
          <a:xfrm>
            <a:off x="5085231" y="1618866"/>
            <a:ext cx="2967912" cy="1777708"/>
          </a:xfrm>
          <a:prstGeom prst="roundRect">
            <a:avLst>
              <a:gd name="adj" fmla="val 242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1A68A173-C05C-46C6-8E9E-BC128E972096}"/>
              </a:ext>
            </a:extLst>
          </xdr:cNvPr>
          <xdr:cNvGraphicFramePr>
            <a:graphicFrameLocks/>
          </xdr:cNvGraphicFramePr>
        </xdr:nvGraphicFramePr>
        <xdr:xfrm>
          <a:off x="5101648" y="1672746"/>
          <a:ext cx="2987792" cy="1435484"/>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40" name="TextBox 39">
            <a:extLst>
              <a:ext uri="{FF2B5EF4-FFF2-40B4-BE49-F238E27FC236}">
                <a16:creationId xmlns:a16="http://schemas.microsoft.com/office/drawing/2014/main" id="{6898ADE2-CABC-9E8C-5CE1-0E2545D4F359}"/>
              </a:ext>
            </a:extLst>
          </xdr:cNvPr>
          <xdr:cNvSpPr txBox="1"/>
        </xdr:nvSpPr>
        <xdr:spPr>
          <a:xfrm>
            <a:off x="5574703" y="3143398"/>
            <a:ext cx="1868251" cy="145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latin typeface="Aptos Narrow" panose="020B0004020202020204" pitchFamily="34" charset="0"/>
                <a:cs typeface="Times New Roman" panose="02020603050405020304" pitchFamily="18" charset="0"/>
              </a:rPr>
              <a:t>Patient</a:t>
            </a:r>
            <a:r>
              <a:rPr lang="en-IN" sz="1000" b="1" baseline="0">
                <a:latin typeface="Aptos Narrow" panose="020B0004020202020204" pitchFamily="34" charset="0"/>
                <a:cs typeface="Times New Roman" panose="02020603050405020304" pitchFamily="18" charset="0"/>
              </a:rPr>
              <a:t>s by Department Referral</a:t>
            </a:r>
            <a:endParaRPr lang="en-IN" sz="1000" b="1">
              <a:latin typeface="Aptos Narrow" panose="020B0004020202020204" pitchFamily="34" charset="0"/>
              <a:cs typeface="Times New Roman" panose="02020603050405020304" pitchFamily="18" charset="0"/>
            </a:endParaRPr>
          </a:p>
        </xdr:txBody>
      </xdr:sp>
    </xdr:grpSp>
    <xdr:clientData/>
  </xdr:twoCellAnchor>
  <xdr:twoCellAnchor editAs="oneCell">
    <xdr:from>
      <xdr:col>6</xdr:col>
      <xdr:colOff>180739</xdr:colOff>
      <xdr:row>1</xdr:row>
      <xdr:rowOff>80513</xdr:rowOff>
    </xdr:from>
    <xdr:to>
      <xdr:col>8</xdr:col>
      <xdr:colOff>29767</xdr:colOff>
      <xdr:row>3</xdr:row>
      <xdr:rowOff>147686</xdr:rowOff>
    </xdr:to>
    <mc:AlternateContent xmlns:mc="http://schemas.openxmlformats.org/markup-compatibility/2006" xmlns:a14="http://schemas.microsoft.com/office/drawing/2010/main">
      <mc:Choice Requires="a14">
        <xdr:graphicFrame macro="">
          <xdr:nvGraphicFramePr>
            <xdr:cNvPr id="16" name="Date (Year) 1">
              <a:extLst>
                <a:ext uri="{FF2B5EF4-FFF2-40B4-BE49-F238E27FC236}">
                  <a16:creationId xmlns:a16="http://schemas.microsoft.com/office/drawing/2014/main" id="{265EC8AE-B4CD-4C2A-9316-0D89384C8D6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829547" y="263686"/>
              <a:ext cx="1065297" cy="43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273373</xdr:colOff>
      <xdr:row>0</xdr:row>
      <xdr:rowOff>73224</xdr:rowOff>
    </xdr:from>
    <xdr:to>
      <xdr:col>7</xdr:col>
      <xdr:colOff>572505</xdr:colOff>
      <xdr:row>1</xdr:row>
      <xdr:rowOff>102532</xdr:rowOff>
    </xdr:to>
    <xdr:sp macro="" textlink="">
      <xdr:nvSpPr>
        <xdr:cNvPr id="27" name="TextBox 26">
          <a:extLst>
            <a:ext uri="{FF2B5EF4-FFF2-40B4-BE49-F238E27FC236}">
              <a16:creationId xmlns:a16="http://schemas.microsoft.com/office/drawing/2014/main" id="{A3F808DF-0E1E-4225-BCE3-E4D47EC88C8C}"/>
            </a:ext>
          </a:extLst>
        </xdr:cNvPr>
        <xdr:cNvSpPr txBox="1"/>
      </xdr:nvSpPr>
      <xdr:spPr>
        <a:xfrm>
          <a:off x="3943852" y="73224"/>
          <a:ext cx="910878" cy="211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50" b="1">
              <a:latin typeface="Aptos Narrow" panose="020B0004020202020204" pitchFamily="34" charset="0"/>
              <a:cs typeface="Times New Roman" panose="02020603050405020304" pitchFamily="18" charset="0"/>
            </a:rPr>
            <a:t>Select Year</a:t>
          </a:r>
        </a:p>
      </xdr:txBody>
    </xdr:sp>
    <xdr:clientData/>
  </xdr:twoCellAnchor>
  <xdr:twoCellAnchor>
    <xdr:from>
      <xdr:col>7</xdr:col>
      <xdr:colOff>367709</xdr:colOff>
      <xdr:row>8</xdr:row>
      <xdr:rowOff>55266</xdr:rowOff>
    </xdr:from>
    <xdr:to>
      <xdr:col>14</xdr:col>
      <xdr:colOff>334537</xdr:colOff>
      <xdr:row>26</xdr:row>
      <xdr:rowOff>108000</xdr:rowOff>
    </xdr:to>
    <xdr:grpSp>
      <xdr:nvGrpSpPr>
        <xdr:cNvPr id="45" name="Group 44">
          <a:extLst>
            <a:ext uri="{FF2B5EF4-FFF2-40B4-BE49-F238E27FC236}">
              <a16:creationId xmlns:a16="http://schemas.microsoft.com/office/drawing/2014/main" id="{D148B0A3-9F50-6F76-26EB-605A351F1C79}"/>
            </a:ext>
          </a:extLst>
        </xdr:cNvPr>
        <xdr:cNvGrpSpPr/>
      </xdr:nvGrpSpPr>
      <xdr:grpSpPr>
        <a:xfrm>
          <a:off x="4623560" y="1546840"/>
          <a:ext cx="4222679" cy="3408777"/>
          <a:chOff x="950056" y="1581079"/>
          <a:chExt cx="3844812" cy="1663403"/>
        </a:xfrm>
      </xdr:grpSpPr>
      <xdr:sp macro="" textlink="">
        <xdr:nvSpPr>
          <xdr:cNvPr id="11" name="Rectangle: Rounded Corners 10">
            <a:extLst>
              <a:ext uri="{FF2B5EF4-FFF2-40B4-BE49-F238E27FC236}">
                <a16:creationId xmlns:a16="http://schemas.microsoft.com/office/drawing/2014/main" id="{CBB2EDF0-C403-E186-3A40-FD08322A4B28}"/>
              </a:ext>
            </a:extLst>
          </xdr:cNvPr>
          <xdr:cNvSpPr/>
        </xdr:nvSpPr>
        <xdr:spPr>
          <a:xfrm>
            <a:off x="950056" y="1670511"/>
            <a:ext cx="3453458" cy="1573971"/>
          </a:xfrm>
          <a:prstGeom prst="roundRect">
            <a:avLst>
              <a:gd name="adj" fmla="val 190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7FA94EB3-FCC6-4962-A273-0223425B1DA2}"/>
              </a:ext>
            </a:extLst>
          </xdr:cNvPr>
          <xdr:cNvGraphicFramePr>
            <a:graphicFrameLocks/>
          </xdr:cNvGraphicFramePr>
        </xdr:nvGraphicFramePr>
        <xdr:xfrm>
          <a:off x="1000238" y="1581079"/>
          <a:ext cx="3794630" cy="1447294"/>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42" name="TextBox 41">
            <a:extLst>
              <a:ext uri="{FF2B5EF4-FFF2-40B4-BE49-F238E27FC236}">
                <a16:creationId xmlns:a16="http://schemas.microsoft.com/office/drawing/2014/main" id="{C1A65E95-E021-4012-A0E3-22B703FBB183}"/>
              </a:ext>
            </a:extLst>
          </xdr:cNvPr>
          <xdr:cNvSpPr txBox="1"/>
        </xdr:nvSpPr>
        <xdr:spPr>
          <a:xfrm>
            <a:off x="1713688" y="3073681"/>
            <a:ext cx="1940843" cy="138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1">
                <a:latin typeface="Aptos Narrow" panose="020B0004020202020204" pitchFamily="34" charset="0"/>
                <a:cs typeface="Times New Roman" panose="02020603050405020304" pitchFamily="18" charset="0"/>
              </a:rPr>
              <a:t>No. of Patient</a:t>
            </a:r>
            <a:r>
              <a:rPr lang="en-IN" sz="1100" b="1" baseline="0">
                <a:latin typeface="Aptos Narrow" panose="020B0004020202020204" pitchFamily="34" charset="0"/>
                <a:cs typeface="Times New Roman" panose="02020603050405020304" pitchFamily="18" charset="0"/>
              </a:rPr>
              <a:t>s by Race</a:t>
            </a:r>
            <a:endParaRPr lang="en-IN" sz="1100" b="1">
              <a:latin typeface="Aptos Narrow" panose="020B0004020202020204" pitchFamily="34" charset="0"/>
              <a:cs typeface="Times New Roman" panose="02020603050405020304" pitchFamily="18" charset="0"/>
            </a:endParaRPr>
          </a:p>
        </xdr:txBody>
      </xdr:sp>
    </xdr:grpSp>
    <xdr:clientData/>
  </xdr:twoCellAnchor>
  <xdr:twoCellAnchor editAs="absolute">
    <xdr:from>
      <xdr:col>0</xdr:col>
      <xdr:colOff>79891</xdr:colOff>
      <xdr:row>4</xdr:row>
      <xdr:rowOff>132932</xdr:rowOff>
    </xdr:from>
    <xdr:to>
      <xdr:col>1</xdr:col>
      <xdr:colOff>293586</xdr:colOff>
      <xdr:row>6</xdr:row>
      <xdr:rowOff>50077</xdr:rowOff>
    </xdr:to>
    <xdr:sp macro="" textlink="">
      <xdr:nvSpPr>
        <xdr:cNvPr id="49" name="TextBox 48">
          <a:extLst>
            <a:ext uri="{FF2B5EF4-FFF2-40B4-BE49-F238E27FC236}">
              <a16:creationId xmlns:a16="http://schemas.microsoft.com/office/drawing/2014/main" id="{8703AD5A-9B2C-4566-9772-E7FB2B8FC072}"/>
            </a:ext>
          </a:extLst>
        </xdr:cNvPr>
        <xdr:cNvSpPr txBox="1"/>
      </xdr:nvSpPr>
      <xdr:spPr>
        <a:xfrm>
          <a:off x="79891" y="865397"/>
          <a:ext cx="822114" cy="283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50" b="1">
              <a:latin typeface="Aptos Narrow" panose="020B0004020202020204" pitchFamily="34" charset="0"/>
              <a:cs typeface="Times New Roman" panose="02020603050405020304" pitchFamily="18" charset="0"/>
            </a:rPr>
            <a:t>Select </a:t>
          </a:r>
          <a:br>
            <a:rPr lang="en-IN" sz="850" b="1">
              <a:latin typeface="Aptos Narrow" panose="020B0004020202020204" pitchFamily="34" charset="0"/>
              <a:cs typeface="Times New Roman" panose="02020603050405020304" pitchFamily="18" charset="0"/>
            </a:rPr>
          </a:br>
          <a:r>
            <a:rPr lang="en-IN" sz="850" b="1">
              <a:latin typeface="Aptos Narrow" panose="020B0004020202020204" pitchFamily="34" charset="0"/>
              <a:cs typeface="Times New Roman" panose="02020603050405020304" pitchFamily="18" charset="0"/>
            </a:rPr>
            <a:t>Month</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13</xdr:col>
      <xdr:colOff>259080</xdr:colOff>
      <xdr:row>15</xdr:row>
      <xdr:rowOff>152400</xdr:rowOff>
    </xdr:to>
    <xdr:graphicFrame macro="">
      <xdr:nvGraphicFramePr>
        <xdr:cNvPr id="2" name="Chart 1">
          <a:extLst>
            <a:ext uri="{FF2B5EF4-FFF2-40B4-BE49-F238E27FC236}">
              <a16:creationId xmlns:a16="http://schemas.microsoft.com/office/drawing/2014/main" id="{FCA0F01C-74E6-4955-9F9D-6510B47AA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0.00619</cdr:x>
      <cdr:y>0.01798</cdr:y>
    </cdr:from>
    <cdr:to>
      <cdr:x>0.05366</cdr:x>
      <cdr:y>0.15206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DB71C5B-86AA-42D8-3821-697CDDECF6D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89645" cy="3789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12915</xdr:rowOff>
    </xdr:from>
    <xdr:to>
      <xdr:col>20</xdr:col>
      <xdr:colOff>51661</xdr:colOff>
      <xdr:row>17</xdr:row>
      <xdr:rowOff>116237</xdr:rowOff>
    </xdr:to>
    <xdr:graphicFrame macro="">
      <xdr:nvGraphicFramePr>
        <xdr:cNvPr id="2" name="Chart 1">
          <a:extLst>
            <a:ext uri="{FF2B5EF4-FFF2-40B4-BE49-F238E27FC236}">
              <a16:creationId xmlns:a16="http://schemas.microsoft.com/office/drawing/2014/main" id="{D6C78C76-9B6D-4E3B-AF10-75E586B83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90407</xdr:colOff>
      <xdr:row>0</xdr:row>
      <xdr:rowOff>51661</xdr:rowOff>
    </xdr:from>
    <xdr:to>
      <xdr:col>0</xdr:col>
      <xdr:colOff>481363</xdr:colOff>
      <xdr:row>2</xdr:row>
      <xdr:rowOff>66090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1C474004-07DC-7EB0-576D-55A15907DE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0407" y="51661"/>
          <a:ext cx="390956" cy="3760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68580</xdr:colOff>
      <xdr:row>15</xdr:row>
      <xdr:rowOff>156437</xdr:rowOff>
    </xdr:to>
    <xdr:graphicFrame macro="">
      <xdr:nvGraphicFramePr>
        <xdr:cNvPr id="2" name="Chart 1">
          <a:extLst>
            <a:ext uri="{FF2B5EF4-FFF2-40B4-BE49-F238E27FC236}">
              <a16:creationId xmlns:a16="http://schemas.microsoft.com/office/drawing/2014/main" id="{65C043BC-94EB-478C-B727-626E56D61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0.00174</cdr:x>
      <cdr:y>3.42238E-7</cdr:y>
    </cdr:from>
    <cdr:to>
      <cdr:x>0.06495</cdr:x>
      <cdr:y>0.13067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016EF37-EDF8-3670-A529-24C0DCED32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598" y="1"/>
          <a:ext cx="384985" cy="381815"/>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56712966" createdVersion="5" refreshedVersion="8" minRefreshableVersion="3" recordCount="0" supportSubquery="1" supportAdvancedDrill="1" xr:uid="{010C8321-4E9D-4408-AE3E-4EAE01F69891}">
  <cacheSource type="external" connectionId="3"/>
  <cacheFields count="4">
    <cacheField name="[Measures].[Distinct Count of Patient Id]" caption="Distinct Count of Patient Id" numFmtId="0" hierarchy="25"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56944443" createdVersion="5" refreshedVersion="8" minRefreshableVersion="3" recordCount="0" supportSubquery="1" supportAdvancedDrill="1" xr:uid="{7C12E0CE-1B37-4126-B297-F6CDBFD44A15}">
  <cacheSource type="external" connectionId="3"/>
  <cacheFields count="3">
    <cacheField name="[Measures].[Distinct Count of Patient Id]" caption="Distinct Count of Patient Id" numFmtId="0" hierarchy="25"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57175928" createdVersion="5" refreshedVersion="8" minRefreshableVersion="3" recordCount="0" supportSubquery="1" supportAdvancedDrill="1" xr:uid="{F4F54FE7-A67F-4BBD-B15E-473B04E15F5C}">
  <cacheSource type="external" connectionId="3"/>
  <cacheFields count="3">
    <cacheField name="[Measures].[Average of Patient Wait Time]" caption="Average of Patient Wait Time" numFmtId="0" hierarchy="27"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57407405" createdVersion="5" refreshedVersion="8" minRefreshableVersion="3" recordCount="0" supportSubquery="1" supportAdvancedDrill="1" xr:uid="{39130BFB-A72B-4ECB-81C3-368DEC0D1C71}">
  <cacheSource type="external" connectionId="3"/>
  <cacheFields count="3">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2"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57986113" createdVersion="5" refreshedVersion="8" minRefreshableVersion="3" recordCount="0" supportSubquery="1" supportAdvancedDrill="1" xr:uid="{634A7291-5376-4794-9F7E-45519BEE7FD3}">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Measures].[Average of Patient Wait Time]" caption="Average of Patient Wait Time" numFmtId="0" hierarchy="27"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58564814" createdVersion="5" refreshedVersion="8" minRefreshableVersion="3" recordCount="0" supportSubquery="1" supportAdvancedDrill="1" xr:uid="{5BFF16EC-750F-4533-A738-40657FCB6851}">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58796298" createdVersion="5" refreshedVersion="8" minRefreshableVersion="3" recordCount="0" supportSubquery="1" supportAdvancedDrill="1" xr:uid="{4E2F506E-67A0-439F-A14B-97F62F8A15A6}">
  <cacheSource type="external" connectionId="3"/>
  <cacheFields count="3">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59374999" createdVersion="5" refreshedVersion="8" minRefreshableVersion="3" recordCount="0" supportSubquery="1" supportAdvancedDrill="1" xr:uid="{C5A95D20-6491-4BDE-B768-0D9A38FF9FF7}">
  <cacheSource type="external" connectionId="3"/>
  <cacheFields count="4">
    <cacheField name="[Hospital Emergency Room Data].[Patient Attend Status].[Patient Attend Status]" caption="Patient Attend Status" numFmtId="0" hierarchy="16" level="1">
      <sharedItems count="2">
        <s v="Delay"/>
        <s v="On Time"/>
      </sharedItems>
    </cacheField>
    <cacheField name="[Measures].[Count of Patient Id]" caption="Count of Patient Id" numFmtId="0" hierarchy="24"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59953707" createdVersion="5" refreshedVersion="8" minRefreshableVersion="3" recordCount="0" supportSubquery="1" supportAdvancedDrill="1" xr:uid="{12D9800A-CEEF-405B-93F8-28E83618DAEC}">
  <cacheSource type="external" connectionId="3"/>
  <cacheFields count="4">
    <cacheField name="[Hospital Emergency Room Data].[Patient Gender].[Patient Gender]" caption="Patient Gender" numFmtId="0" hierarchy="8" level="1">
      <sharedItems count="2">
        <s v="Female"/>
        <s v="Male"/>
      </sharedItems>
    </cacheField>
    <cacheField name="[Measures].[Distinct Count of Patient Id]" caption="Distinct Count of Patient Id" numFmtId="0" hierarchy="25" level="32767"/>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60416668" createdVersion="5" refreshedVersion="8" minRefreshableVersion="3" recordCount="0" supportSubquery="1" supportAdvancedDrill="1" xr:uid="{B4027872-C12A-45F2-9843-6D2227366A3E}">
  <cacheSource type="external" connectionId="3"/>
  <cacheFields count="4">
    <cacheField name="[Measures].[Distinct Count of Patient Id]" caption="Distinct Count of Patient Id" numFmtId="0" hierarchy="25" level="32767"/>
    <cacheField name="[Hospital Emergency Room Data].[Age Group].[Age Group]" caption="Age Group" numFmtId="0" hierarchy="15"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6087963" createdVersion="5" refreshedVersion="8" minRefreshableVersion="3" recordCount="0" supportSubquery="1" supportAdvancedDrill="1" xr:uid="{AD32BB8C-0403-49A7-B2F8-5BA9A5061FA3}">
  <cacheSource type="external" connectionId="3"/>
  <cacheFields count="4">
    <cacheField name="[Measures].[Distinct Count of Patient Id]" caption="Distinct Count of Patient Id" numFmtId="0" hierarchy="25"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61342592" createdVersion="5" refreshedVersion="8" minRefreshableVersion="3" recordCount="0" supportSubquery="1" supportAdvancedDrill="1" xr:uid="{E984DDB4-9365-45D1-94C0-047431323263}">
  <cacheSource type="external" connectionId="3"/>
  <cacheFields count="2">
    <cacheField name="[Calendar_Table].[Date (Year)].[Date (Year)]" caption="Date (Year)" numFmtId="0" hierarchy="3" level="1">
      <sharedItems count="1">
        <s v="2024"/>
      </sharedItems>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61921293" createdVersion="5" refreshedVersion="8" minRefreshableVersion="3" recordCount="0" supportSubquery="1" supportAdvancedDrill="1" xr:uid="{A00DC6DA-8271-4CA8-8F0D-B20A560FFF9F}">
  <cacheSource type="external" connectionId="3"/>
  <cacheFields count="4">
    <cacheField name="[Measures].[Distinct Count of Patient Id]" caption="Distinct Count of Patient Id" numFmtId="0" hierarchy="25" level="32767"/>
    <cacheField name="[Hospital Emergency Room Data].[Patient Race].[Patient Race]" caption="Patient Race" numFmtId="0" hierarchy="10" level="1">
      <sharedItems count="7">
        <s v="African American"/>
        <s v="Asian"/>
        <s v="Declined to Identify"/>
        <s v="Native American/Alaska Native"/>
        <s v="Pacific Islander"/>
        <s v="Two or More Races"/>
        <s v="White"/>
      </sharedItems>
    </cacheField>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1"/>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8.622562500001" createdVersion="5" refreshedVersion="8" minRefreshableVersion="3" recordCount="0" supportSubquery="1" supportAdvancedDrill="1" xr:uid="{76538DAA-80B5-4A37-AEAB-8BC1A821CA22}">
  <cacheSource type="external" connectionId="3"/>
  <cacheFields count="3">
    <cacheField name="[Hospital Emergency Room Data].[Patient Gender].[Patient Gender]" caption="Patient Gender" numFmtId="0" hierarchy="8" level="1">
      <sharedItems count="2">
        <s v="Female"/>
        <s v="Male"/>
      </sharedItems>
    </cacheField>
    <cacheField name="[Calendar_Table].[Date (Year)].[Date (Year)]" caption="Date (Year)" numFmtId="0" hierarchy="3"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Patil" refreshedDate="46065.677617592592" createdVersion="3" refreshedVersion="8" minRefreshableVersion="3" recordCount="0" supportSubquery="1" supportAdvancedDrill="1" xr:uid="{B10B6689-27B0-448F-B599-C48ADE75A078}">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Time (Hour)]" caption="Patient Admission Time (Hour)" attribute="1" defaultMemberUniqueName="[Hospital Emergency Room Data].[Patient Admission Time (Hour)].[All]" allUniqueName="[Hospital Emergency Room Data].[Patient Admission Time (Hour)].[All]" dimensionUniqueName="[Hospital Emergency Room Data]" displayFolder="" count="0" memberValueDatatype="130" unbalanced="0"/>
    <cacheHierarchy uniqueName="[Hospital Emergency Room Data].[Patient Admission Time (Minute)]" caption="Patient Admission Time (Minute)" attribute="1" defaultMemberUniqueName="[Hospital Emergency Room Data].[Patient Admission Time (Minute)].[All]" allUniqueName="[Hospital Emergency Room Data].[Patient Admission Time (Minut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3019318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3F540C-1F02-4A11-9282-9D4FEC68E570}" name="PivotTable1" cacheId="482" applyNumberFormats="0" applyBorderFormats="0" applyFontFormats="0" applyPatternFormats="0" applyAlignmentFormats="0" applyWidthHeightFormats="1" dataCaption="Values" tag="afd03454-1300-4ae0-a671-1f7482b4aab1"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9A242-DB08-45F0-9C78-7C718C26E890}" name="PivotTable9" cacheId="500" applyNumberFormats="0" applyBorderFormats="0" applyFontFormats="0" applyPatternFormats="0" applyAlignmentFormats="0" applyWidthHeightFormats="1" dataCaption="Values" tag="e292b771-42e3-4eac-9d26-d8c6dc412381" updatedVersion="8" minRefreshableVersion="3" subtotalHiddenItems="1" itemPrintTitles="1" createdVersion="5" indent="0" outline="1" outlineData="1" multipleFieldFilters="0" chartFormat="11">
  <location ref="S15:T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numFmtId="1"/>
  </dataFields>
  <formats count="1">
    <format dxfId="276">
      <pivotArea outline="0" collapsedLevelsAreSubtotals="1" fieldPosition="0"/>
    </format>
  </format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 format="6">
      <pivotArea type="data" outline="0" fieldPosition="0">
        <references count="2">
          <reference field="4294967294" count="1" selected="0">
            <x v="0"/>
          </reference>
          <reference field="0" count="1" selected="0">
            <x v="1"/>
          </reference>
        </references>
      </pivotArea>
    </chartFormat>
    <chartFormat chart="0"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B0F69D-0F1E-4DE7-976E-74350B274F5D}" name="PivotTable10" cacheId="506" applyNumberFormats="0" applyBorderFormats="0" applyFontFormats="0" applyPatternFormats="0" applyAlignmentFormats="0" applyWidthHeightFormats="1" dataCaption="Values" tag="e292b771-42e3-4eac-9d26-d8c6dc412381" updatedVersion="8" minRefreshableVersion="3" subtotalHiddenItems="1" itemPrintTitles="1" createdVersion="5" indent="0" outline="1" outlineData="1" multipleFieldFilters="0" chartFormat="10">
  <location ref="A36:B45"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279">
      <pivotArea outline="0" collapsedLevelsAreSubtotals="1" fieldPosition="0"/>
    </format>
    <format dxfId="278">
      <pivotArea grandRow="1" outline="0" collapsedLevelsAreSubtotals="1" fieldPosition="0"/>
    </format>
    <format dxfId="277">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747F99-4668-4B5E-80BF-70A4354894E9}" name="PivotTable3" cacheId="488" applyNumberFormats="0" applyBorderFormats="0" applyFontFormats="0" applyPatternFormats="0" applyAlignmentFormats="0" applyWidthHeightFormats="1" dataCaption="Values" tag="e292b771-42e3-4eac-9d26-d8c6dc412381" updatedVersion="8" minRefreshableVersion="3" subtotalHiddenItems="1" itemPrintTitles="1" createdVersion="5"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formats count="1">
    <format dxfId="280">
      <pivotArea outline="0" collapsedLevelsAreSubtotals="1" fieldPosition="0"/>
    </format>
  </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0D9D18-3881-40A2-B06B-E9B13D127075}" name="PivotTable6" cacheId="491" applyNumberFormats="0" applyBorderFormats="0" applyFontFormats="0" applyPatternFormats="0" applyAlignmentFormats="0" applyWidthHeightFormats="1" dataCaption="Values" tag="afd03454-1300-4ae0-a671-1f7482b4aab1" updatedVersion="8" minRefreshableVersion="3" subtotalHiddenItems="1" itemPrintTitles="1" createdVersion="5" indent="0" outline="1" outlineData="1" multipleFieldFilters="0" chartFormat="21">
  <location ref="I9:J4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 Time" fld="1" subtotal="average" baseField="0" baseItem="0" numFmtId="2"/>
  </dataFields>
  <formats count="1">
    <format dxfId="281">
      <pivotArea outline="0" collapsedLevelsAreSubtotals="1" fieldPosition="0"/>
    </format>
  </format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AB1317-F710-45A0-A5CE-BB2CD7DF6155}" name="PivotTable4" cacheId="503" applyNumberFormats="0" applyBorderFormats="0" applyFontFormats="0" applyPatternFormats="0" applyAlignmentFormats="0" applyWidthHeightFormats="1" dataCaption="Values" tag="e292b771-42e3-4eac-9d26-d8c6dc412381" updatedVersion="8" minRefreshableVersion="3" subtotalHiddenItems="1" itemPrintTitles="1" createdVersion="5" indent="0" outline="1" outlineData="1" multipleFieldFilters="0" chartFormat="5">
  <location ref="A29:B32"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formats count="4">
    <format dxfId="285">
      <pivotArea outline="0" collapsedLevelsAreSubtotals="1" fieldPosition="0"/>
    </format>
    <format dxfId="284">
      <pivotArea collapsedLevelsAreSubtotals="1" fieldPosition="0">
        <references count="1">
          <reference field="0" count="1">
            <x v="0"/>
          </reference>
        </references>
      </pivotArea>
    </format>
    <format dxfId="283">
      <pivotArea collapsedLevelsAreSubtotals="1" fieldPosition="0">
        <references count="1">
          <reference field="0" count="1">
            <x v="1"/>
          </reference>
        </references>
      </pivotArea>
    </format>
    <format dxfId="282">
      <pivotArea grandRow="1" outline="0" collapsedLevelsAreSubtotals="1" fieldPosition="0"/>
    </format>
  </formats>
  <chartFormats count="3">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A88D95-1D76-4A60-854E-77D1026EF9A0}" name="PivotTable12" cacheId="515" applyNumberFormats="0" applyBorderFormats="0" applyFontFormats="0" applyPatternFormats="0" applyAlignmentFormats="0" applyWidthHeightFormats="1" dataCaption="Values" tag="e292b771-42e3-4eac-9d26-d8c6dc412381" updatedVersion="8" minRefreshableVersion="3" subtotalHiddenItems="1" itemPrintTitles="1" createdVersion="5" indent="0" outline="1" outlineData="1" multipleFieldFilters="0" chartFormat="9">
  <location ref="A70:B78" firstHeaderRow="1" firstDataRow="1" firstDataCol="1"/>
  <pivotFields count="4">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3"/>
    </i>
    <i>
      <x v="4"/>
    </i>
    <i>
      <x v="2"/>
    </i>
    <i>
      <x v="1"/>
    </i>
    <i>
      <x v="5"/>
    </i>
    <i>
      <x/>
    </i>
    <i>
      <x v="6"/>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288">
      <pivotArea outline="0" collapsedLevelsAreSubtotals="1" fieldPosition="0"/>
    </format>
    <format dxfId="287">
      <pivotArea grandRow="1" outline="0" collapsedLevelsAreSubtotals="1" fieldPosition="0"/>
    </format>
    <format dxfId="286">
      <pivotArea collapsedLevelsAreSubtotals="1" fieldPosition="0">
        <references count="1">
          <reference field="1" count="0"/>
        </references>
      </pivotArea>
    </format>
  </formats>
  <chartFormats count="2">
    <chartFormat chart="3" format="5"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3DAF0D-B5D3-4271-A299-E9A9181AC941}" name="PivotTable7" cacheId="494" applyNumberFormats="0" applyBorderFormats="0" applyFontFormats="0" applyPatternFormats="0" applyAlignmentFormats="0" applyWidthHeightFormats="1" dataCaption="Values" tag="afd03454-1300-4ae0-a671-1f7482b4aab1" updatedVersion="8" minRefreshableVersion="3" subtotalHiddenItems="1" itemPrintTitles="1" createdVersion="5" indent="0" outline="1" outlineData="1" multipleFieldFilters="0" chartFormat="30">
  <location ref="N8:O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0"/>
  </dataFields>
  <formats count="1">
    <format dxfId="289">
      <pivotArea outline="0" collapsedLevelsAreSubtotals="1" fieldPosition="0"/>
    </format>
  </formats>
  <chartFormats count="3">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3EF72E-8B66-4ECF-A966-415F22E3C4A0}" name="PivotTable2" cacheId="485" applyNumberFormats="0" applyBorderFormats="0" applyFontFormats="0" applyPatternFormats="0" applyAlignmentFormats="0" applyWidthHeightFormats="1" dataCaption="Values" tag="6a4abc56-c2e7-4bac-8153-6bc6ae39659a"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1">
    <format dxfId="290">
      <pivotArea outline="0" collapsedLevelsAreSubtotals="1" fieldPosition="0"/>
    </format>
  </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E1ED41-67DC-416B-9CDB-2FC21EE37EA2}" name="PivotTable8" cacheId="497" applyNumberFormats="0" applyBorderFormats="0" applyFontFormats="0" applyPatternFormats="0" applyAlignmentFormats="0" applyWidthHeightFormats="1" dataCaption="Values" tag="e292b771-42e3-4eac-9d26-d8c6dc412381" updatedVersion="8" minRefreshableVersion="3" subtotalHiddenItems="1" itemPrintTitles="1" createdVersion="5" indent="0" outline="1" outlineData="1" multipleFieldFilters="0">
  <location ref="A23:A2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formats count="1">
    <format dxfId="291">
      <pivotArea outline="0" collapsedLevelsAreSubtotals="1" fieldPosition="0"/>
    </format>
  </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75234A-210B-4BDB-A444-9900D2F4642E}" name="PivotTable14" cacheId="512" applyNumberFormats="0" applyBorderFormats="0" applyFontFormats="0" applyPatternFormats="0" applyAlignmentFormats="0" applyWidthHeightFormats="1" dataCaption="Values" tag="e292b771-42e3-4eac-9d26-d8c6dc412381" updatedVersion="8" minRefreshableVersion="3" subtotalHiddenItems="1" itemPrintTitles="1" createdVersion="5" indent="0" outline="1" outlineData="1" multipleFieldFilters="0" chartFormat="5">
  <location ref="A64:A66"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formats count="2">
    <format dxfId="293">
      <pivotArea outline="0" collapsedLevelsAreSubtotals="1" fieldPosition="0"/>
    </format>
    <format dxfId="292">
      <pivotArea grandRow="1" outline="0" collapsedLevelsAreSubtotals="1" fieldPosition="0"/>
    </format>
  </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CC6DFA-BAFC-44B9-AAAB-A2E4694401E8}" name="PivotTable11" cacheId="509" applyNumberFormats="0" applyBorderFormats="0" applyFontFormats="0" applyPatternFormats="0" applyAlignmentFormats="0" applyWidthHeightFormats="1" dataCaption="Values" tag="e292b771-42e3-4eac-9d26-d8c6dc412381" updatedVersion="8" minRefreshableVersion="3" subtotalHiddenItems="1" itemPrintTitles="1" createdVersion="5" indent="0" outline="1" outlineData="1" multipleFieldFilters="0" chartFormat="15">
  <location ref="A49:B58" firstHeaderRow="1" firstDataRow="1" firstDataCol="1"/>
  <pivotFields count="4">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296">
      <pivotArea outline="0" collapsedLevelsAreSubtotals="1" fieldPosition="0"/>
    </format>
    <format dxfId="295">
      <pivotArea grandRow="1" outline="0" collapsedLevelsAreSubtotals="1" fieldPosition="0"/>
    </format>
    <format dxfId="294">
      <pivotArea collapsedLevelsAreSubtotals="1" fieldPosition="0">
        <references count="1">
          <reference field="1" count="0"/>
        </references>
      </pivotArea>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38A4D63-3C0B-477D-8593-28EB772138A8}" name="PivotTable13" cacheId="518" applyNumberFormats="0" applyBorderFormats="0" applyFontFormats="0" applyPatternFormats="0" applyAlignmentFormats="0" applyWidthHeightFormats="1" dataCaption="Values" tag="e292b771-42e3-4eac-9d26-d8c6dc412381" updatedVersion="8" minRefreshableVersion="3" subtotalHiddenItems="1" itemPrintTitles="1" createdVersion="5" indent="0" outline="1" outlineData="1" multipleFieldFilters="0" chartFormat="11">
  <location ref="A82:A85" firstHeaderRow="1" firstDataRow="1" firstDataCol="1"/>
  <pivotFields count="3">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formats count="2">
    <format dxfId="298">
      <pivotArea outline="0" collapsedLevelsAreSubtotals="1" fieldPosition="0"/>
    </format>
    <format dxfId="297">
      <pivotArea grandRow="1" outline="0" collapsedLevelsAreSubtotals="1" fieldPosition="0"/>
    </format>
  </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84B903E-535C-440B-B556-DF33E9E108BF}" name="PivotTable5" cacheId="479" applyNumberFormats="0" applyBorderFormats="0" applyFontFormats="0" applyPatternFormats="0" applyAlignmentFormats="0" applyWidthHeightFormats="1" dataCaption="Values" tag="afd03454-1300-4ae0-a671-1f7482b4aab1" updatedVersion="8" minRefreshableVersion="3" subtotalHiddenItems="1" itemPrintTitles="1" createdVersion="5" indent="0" outline="1" outlineData="1" multipleFieldFilters="0" chartFormat="16">
  <location ref="D8:E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7B0DA9E-2BDF-440D-A568-4C706B55CEDB}" sourceName="[Calendar_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9"/>
    <pivotTable tabId="1" name="PivotTable4"/>
    <pivotTable tabId="1" name="PivotTable10"/>
    <pivotTable tabId="1" name="PivotTable11"/>
    <pivotTable tabId="1" name="PivotTable14"/>
    <pivotTable tabId="1" name="PivotTable12"/>
    <pivotTable tabId="1" name="PivotTable13"/>
  </pivotTables>
  <data>
    <olap pivotCacheId="130193180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F5455CE-C5E7-44A3-A560-47CA17CB3951}" sourceName="[Calendar_Table].[Date (Year)]">
  <pivotTables>
    <pivotTable tabId="1" name="PivotTable14"/>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2"/>
    <pivotTable tabId="1" name="PivotTable13"/>
  </pivotTables>
  <data>
    <olap pivotCacheId="130193180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C8832805-4EFB-494F-80D6-5992685BAE24}" cache="Slicer_Date__Month" caption="Date (Month)" showCaption="0" level="1" style="My Style" rowHeight="252000"/>
  <slicer name="Date (Year) 1" xr10:uid="{147349BC-E673-4BAF-87FD-E1FB7B7E7A6B}" cache="Slicer_Date__Year" caption="Date (Year)" columnCount="2" showCaption="0" level="1" style="My 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6A34F-A956-4B0F-A676-7086AAD66DDB}">
  <dimension ref="A6:T85"/>
  <sheetViews>
    <sheetView tabSelected="1" topLeftCell="B4" zoomScale="98" zoomScaleNormal="87" workbookViewId="0">
      <selection activeCell="C4" sqref="C4"/>
    </sheetView>
  </sheetViews>
  <sheetFormatPr defaultRowHeight="14.4" x14ac:dyDescent="0.3"/>
  <cols>
    <col min="1" max="1" width="21.21875" customWidth="1"/>
    <col min="2" max="2" width="17.44140625" bestFit="1" customWidth="1"/>
    <col min="3" max="3" width="17.44140625" customWidth="1"/>
    <col min="4" max="4" width="16.44140625" bestFit="1" customWidth="1"/>
    <col min="5" max="5" width="28.88671875" customWidth="1"/>
    <col min="9" max="9" width="10.88671875" customWidth="1"/>
    <col min="19" max="19" width="17.6640625" customWidth="1"/>
  </cols>
  <sheetData>
    <row r="6" spans="1:20" x14ac:dyDescent="0.3">
      <c r="A6" t="s">
        <v>1</v>
      </c>
    </row>
    <row r="7" spans="1:20" x14ac:dyDescent="0.3">
      <c r="A7" t="s">
        <v>0</v>
      </c>
    </row>
    <row r="8" spans="1:20" x14ac:dyDescent="0.3">
      <c r="A8" s="10">
        <v>519</v>
      </c>
      <c r="D8" s="4" t="s">
        <v>5</v>
      </c>
      <c r="E8" t="s">
        <v>0</v>
      </c>
      <c r="N8" s="4" t="s">
        <v>5</v>
      </c>
      <c r="O8" t="s">
        <v>3</v>
      </c>
    </row>
    <row r="9" spans="1:20" x14ac:dyDescent="0.3">
      <c r="D9" s="5" t="s">
        <v>38</v>
      </c>
      <c r="E9" s="10">
        <v>14</v>
      </c>
      <c r="I9" s="4" t="s">
        <v>5</v>
      </c>
      <c r="J9" t="s">
        <v>2</v>
      </c>
      <c r="N9" s="5" t="s">
        <v>38</v>
      </c>
      <c r="O9" s="1">
        <v>7.4</v>
      </c>
    </row>
    <row r="10" spans="1:20" x14ac:dyDescent="0.3">
      <c r="D10" s="5" t="s">
        <v>39</v>
      </c>
      <c r="E10" s="10">
        <v>21</v>
      </c>
      <c r="I10" s="5" t="s">
        <v>38</v>
      </c>
      <c r="J10" s="1">
        <v>35.642857142857146</v>
      </c>
      <c r="N10" s="5" t="s">
        <v>39</v>
      </c>
      <c r="O10" s="1">
        <v>5.6</v>
      </c>
    </row>
    <row r="11" spans="1:20" x14ac:dyDescent="0.3">
      <c r="D11" s="5" t="s">
        <v>40</v>
      </c>
      <c r="E11" s="10">
        <v>21</v>
      </c>
      <c r="I11" s="5" t="s">
        <v>39</v>
      </c>
      <c r="J11" s="1">
        <v>27</v>
      </c>
      <c r="N11" s="5" t="s">
        <v>40</v>
      </c>
      <c r="O11" s="1">
        <v>6.7142857142857144</v>
      </c>
    </row>
    <row r="12" spans="1:20" x14ac:dyDescent="0.3">
      <c r="D12" s="5" t="s">
        <v>41</v>
      </c>
      <c r="E12" s="10">
        <v>15</v>
      </c>
      <c r="I12" s="5" t="s">
        <v>40</v>
      </c>
      <c r="J12" s="1">
        <v>36.047619047619051</v>
      </c>
      <c r="N12" s="5" t="s">
        <v>41</v>
      </c>
      <c r="O12" s="1">
        <v>6</v>
      </c>
    </row>
    <row r="13" spans="1:20" x14ac:dyDescent="0.3">
      <c r="A13" t="s">
        <v>2</v>
      </c>
      <c r="D13" s="5" t="s">
        <v>42</v>
      </c>
      <c r="E13" s="10">
        <v>11</v>
      </c>
      <c r="I13" s="5" t="s">
        <v>41</v>
      </c>
      <c r="J13" s="1">
        <v>38.866666666666667</v>
      </c>
      <c r="N13" s="5" t="s">
        <v>42</v>
      </c>
      <c r="O13" s="1">
        <v>4</v>
      </c>
    </row>
    <row r="14" spans="1:20" x14ac:dyDescent="0.3">
      <c r="A14" s="1">
        <v>35.809248554913296</v>
      </c>
      <c r="D14" s="5" t="s">
        <v>43</v>
      </c>
      <c r="E14" s="10">
        <v>17</v>
      </c>
      <c r="I14" s="5" t="s">
        <v>42</v>
      </c>
      <c r="J14" s="1">
        <v>35.909090909090907</v>
      </c>
      <c r="N14" s="5" t="s">
        <v>43</v>
      </c>
      <c r="O14" s="1">
        <v>4.7142857142857144</v>
      </c>
    </row>
    <row r="15" spans="1:20" x14ac:dyDescent="0.3">
      <c r="D15" s="5" t="s">
        <v>44</v>
      </c>
      <c r="E15" s="10">
        <v>15</v>
      </c>
      <c r="I15" s="5" t="s">
        <v>43</v>
      </c>
      <c r="J15" s="1">
        <v>38.470588235294116</v>
      </c>
      <c r="N15" s="5" t="s">
        <v>44</v>
      </c>
      <c r="O15" s="1">
        <v>1.8</v>
      </c>
      <c r="S15" s="4" t="s">
        <v>5</v>
      </c>
      <c r="T15" t="s">
        <v>11</v>
      </c>
    </row>
    <row r="16" spans="1:20" x14ac:dyDescent="0.3">
      <c r="D16" s="5" t="s">
        <v>45</v>
      </c>
      <c r="E16" s="10">
        <v>17</v>
      </c>
      <c r="I16" s="5" t="s">
        <v>44</v>
      </c>
      <c r="J16" s="1">
        <v>36.733333333333334</v>
      </c>
      <c r="N16" s="5" t="s">
        <v>45</v>
      </c>
      <c r="O16" s="1">
        <v>4.833333333333333</v>
      </c>
      <c r="S16" s="5" t="s">
        <v>7</v>
      </c>
      <c r="T16" s="6">
        <v>324</v>
      </c>
    </row>
    <row r="17" spans="1:20" x14ac:dyDescent="0.3">
      <c r="D17" s="5" t="s">
        <v>46</v>
      </c>
      <c r="E17" s="10">
        <v>13</v>
      </c>
      <c r="I17" s="5" t="s">
        <v>45</v>
      </c>
      <c r="J17" s="1">
        <v>34.588235294117645</v>
      </c>
      <c r="N17" s="5" t="s">
        <v>46</v>
      </c>
      <c r="O17" s="1">
        <v>4.25</v>
      </c>
      <c r="S17" s="5" t="s">
        <v>8</v>
      </c>
      <c r="T17" s="6">
        <v>195</v>
      </c>
    </row>
    <row r="18" spans="1:20" x14ac:dyDescent="0.3">
      <c r="A18" t="s">
        <v>3</v>
      </c>
      <c r="D18" s="5" t="s">
        <v>47</v>
      </c>
      <c r="E18" s="10">
        <v>24</v>
      </c>
      <c r="I18" s="5" t="s">
        <v>46</v>
      </c>
      <c r="J18" s="1">
        <v>37.53846153846154</v>
      </c>
      <c r="N18" s="5" t="s">
        <v>47</v>
      </c>
      <c r="O18" s="1">
        <v>4.5999999999999996</v>
      </c>
      <c r="S18" s="5" t="s">
        <v>4</v>
      </c>
      <c r="T18" s="6">
        <v>519</v>
      </c>
    </row>
    <row r="19" spans="1:20" x14ac:dyDescent="0.3">
      <c r="A19" s="2">
        <v>5.1455696202531644</v>
      </c>
      <c r="D19" s="5" t="s">
        <v>48</v>
      </c>
      <c r="E19" s="10">
        <v>13</v>
      </c>
      <c r="I19" s="5" t="s">
        <v>47</v>
      </c>
      <c r="J19" s="1">
        <v>31.708333333333332</v>
      </c>
      <c r="N19" s="5" t="s">
        <v>48</v>
      </c>
      <c r="O19" s="1">
        <v>6.5</v>
      </c>
    </row>
    <row r="20" spans="1:20" x14ac:dyDescent="0.3">
      <c r="D20" s="5" t="s">
        <v>49</v>
      </c>
      <c r="E20" s="10">
        <v>14</v>
      </c>
      <c r="I20" s="5" t="s">
        <v>48</v>
      </c>
      <c r="J20" s="1">
        <v>28.923076923076923</v>
      </c>
      <c r="N20" s="5" t="s">
        <v>49</v>
      </c>
      <c r="O20" s="1">
        <v>5</v>
      </c>
    </row>
    <row r="21" spans="1:20" x14ac:dyDescent="0.3">
      <c r="D21" s="5" t="s">
        <v>50</v>
      </c>
      <c r="E21" s="10">
        <v>12</v>
      </c>
      <c r="I21" s="5" t="s">
        <v>49</v>
      </c>
      <c r="J21" s="1">
        <v>42.071428571428569</v>
      </c>
      <c r="N21" s="5" t="s">
        <v>50</v>
      </c>
      <c r="O21" s="1">
        <v>6</v>
      </c>
    </row>
    <row r="22" spans="1:20" x14ac:dyDescent="0.3">
      <c r="D22" s="5" t="s">
        <v>51</v>
      </c>
      <c r="E22" s="10">
        <v>11</v>
      </c>
      <c r="I22" s="5" t="s">
        <v>50</v>
      </c>
      <c r="J22" s="1">
        <v>35.833333333333336</v>
      </c>
      <c r="N22" s="5" t="s">
        <v>51</v>
      </c>
      <c r="O22" s="1">
        <v>4.7142857142857144</v>
      </c>
    </row>
    <row r="23" spans="1:20" x14ac:dyDescent="0.3">
      <c r="A23" t="s">
        <v>3</v>
      </c>
      <c r="D23" s="5" t="s">
        <v>52</v>
      </c>
      <c r="E23" s="10">
        <v>16</v>
      </c>
      <c r="I23" s="5" t="s">
        <v>51</v>
      </c>
      <c r="J23" s="1">
        <v>28.727272727272727</v>
      </c>
      <c r="N23" s="5" t="s">
        <v>52</v>
      </c>
      <c r="O23" s="1">
        <v>4.2</v>
      </c>
    </row>
    <row r="24" spans="1:20" x14ac:dyDescent="0.3">
      <c r="A24" s="2">
        <v>5.1455696202531644</v>
      </c>
      <c r="D24" s="5" t="s">
        <v>53</v>
      </c>
      <c r="E24" s="10">
        <v>20</v>
      </c>
      <c r="I24" s="5" t="s">
        <v>52</v>
      </c>
      <c r="J24" s="1">
        <v>35.75</v>
      </c>
      <c r="N24" s="5" t="s">
        <v>53</v>
      </c>
      <c r="O24" s="1">
        <v>7.2</v>
      </c>
    </row>
    <row r="25" spans="1:20" x14ac:dyDescent="0.3">
      <c r="D25" s="5" t="s">
        <v>54</v>
      </c>
      <c r="E25" s="10">
        <v>15</v>
      </c>
      <c r="I25" s="5" t="s">
        <v>53</v>
      </c>
      <c r="J25" s="1">
        <v>34.75</v>
      </c>
      <c r="N25" s="5" t="s">
        <v>54</v>
      </c>
      <c r="O25" s="1">
        <v>4.333333333333333</v>
      </c>
    </row>
    <row r="26" spans="1:20" x14ac:dyDescent="0.3">
      <c r="D26" s="5" t="s">
        <v>55</v>
      </c>
      <c r="E26" s="10">
        <v>19</v>
      </c>
      <c r="I26" s="5" t="s">
        <v>54</v>
      </c>
      <c r="J26" s="1">
        <v>37.666666666666664</v>
      </c>
      <c r="N26" s="5" t="s">
        <v>55</v>
      </c>
      <c r="O26" s="1">
        <v>3.7777777777777777</v>
      </c>
    </row>
    <row r="27" spans="1:20" x14ac:dyDescent="0.3">
      <c r="D27" s="5" t="s">
        <v>56</v>
      </c>
      <c r="E27" s="10">
        <v>16</v>
      </c>
      <c r="I27" s="5" t="s">
        <v>55</v>
      </c>
      <c r="J27" s="1">
        <v>40.421052631578945</v>
      </c>
      <c r="N27" s="5" t="s">
        <v>56</v>
      </c>
      <c r="O27" s="1">
        <v>3.6666666666666665</v>
      </c>
    </row>
    <row r="28" spans="1:20" x14ac:dyDescent="0.3">
      <c r="D28" s="5" t="s">
        <v>57</v>
      </c>
      <c r="E28" s="10">
        <v>17</v>
      </c>
      <c r="I28" s="5" t="s">
        <v>56</v>
      </c>
      <c r="J28" s="1">
        <v>33.75</v>
      </c>
      <c r="N28" s="5" t="s">
        <v>57</v>
      </c>
      <c r="O28" s="1">
        <v>4</v>
      </c>
    </row>
    <row r="29" spans="1:20" x14ac:dyDescent="0.3">
      <c r="A29" s="4" t="s">
        <v>5</v>
      </c>
      <c r="B29" t="s">
        <v>0</v>
      </c>
      <c r="D29" s="5" t="s">
        <v>58</v>
      </c>
      <c r="E29" s="10">
        <v>28</v>
      </c>
      <c r="I29" s="5" t="s">
        <v>57</v>
      </c>
      <c r="J29" s="1">
        <v>32.764705882352942</v>
      </c>
      <c r="N29" s="5" t="s">
        <v>58</v>
      </c>
      <c r="O29" s="1">
        <v>5.833333333333333</v>
      </c>
    </row>
    <row r="30" spans="1:20" x14ac:dyDescent="0.3">
      <c r="A30" s="5" t="s">
        <v>12</v>
      </c>
      <c r="B30" s="6">
        <v>254</v>
      </c>
      <c r="C30" s="2"/>
      <c r="D30" s="5" t="s">
        <v>59</v>
      </c>
      <c r="E30" s="10">
        <v>22</v>
      </c>
      <c r="I30" s="5" t="s">
        <v>58</v>
      </c>
      <c r="J30" s="1">
        <v>37.357142857142854</v>
      </c>
      <c r="N30" s="5" t="s">
        <v>59</v>
      </c>
      <c r="O30" s="1">
        <v>5.666666666666667</v>
      </c>
    </row>
    <row r="31" spans="1:20" x14ac:dyDescent="0.3">
      <c r="A31" s="5" t="s">
        <v>13</v>
      </c>
      <c r="B31" s="6">
        <v>265</v>
      </c>
      <c r="C31" s="2"/>
      <c r="D31" s="5" t="s">
        <v>60</v>
      </c>
      <c r="E31" s="10">
        <v>20</v>
      </c>
      <c r="I31" s="5" t="s">
        <v>59</v>
      </c>
      <c r="J31" s="1">
        <v>37.227272727272727</v>
      </c>
      <c r="N31" s="5" t="s">
        <v>60</v>
      </c>
      <c r="O31" s="1">
        <v>5.5</v>
      </c>
    </row>
    <row r="32" spans="1:20" x14ac:dyDescent="0.3">
      <c r="A32" s="5" t="s">
        <v>4</v>
      </c>
      <c r="B32" s="6">
        <v>519</v>
      </c>
      <c r="C32" s="2"/>
      <c r="D32" s="5" t="s">
        <v>61</v>
      </c>
      <c r="E32" s="10">
        <v>17</v>
      </c>
      <c r="I32" s="5" t="s">
        <v>60</v>
      </c>
      <c r="J32" s="1">
        <v>36.700000000000003</v>
      </c>
      <c r="N32" s="5" t="s">
        <v>61</v>
      </c>
      <c r="O32" s="1">
        <v>5.5</v>
      </c>
    </row>
    <row r="33" spans="1:15" x14ac:dyDescent="0.3">
      <c r="D33" s="5" t="s">
        <v>62</v>
      </c>
      <c r="E33" s="10">
        <v>18</v>
      </c>
      <c r="I33" s="5" t="s">
        <v>61</v>
      </c>
      <c r="J33" s="1">
        <v>43.058823529411768</v>
      </c>
      <c r="N33" s="5" t="s">
        <v>62</v>
      </c>
      <c r="O33" s="1">
        <v>7</v>
      </c>
    </row>
    <row r="34" spans="1:15" x14ac:dyDescent="0.3">
      <c r="D34" s="5" t="s">
        <v>63</v>
      </c>
      <c r="E34" s="10">
        <v>13</v>
      </c>
      <c r="I34" s="5" t="s">
        <v>62</v>
      </c>
      <c r="J34" s="1">
        <v>39.777777777777779</v>
      </c>
      <c r="N34" s="5" t="s">
        <v>63</v>
      </c>
      <c r="O34" s="1">
        <v>7</v>
      </c>
    </row>
    <row r="35" spans="1:15" x14ac:dyDescent="0.3">
      <c r="D35" s="5" t="s">
        <v>64</v>
      </c>
      <c r="E35" s="10">
        <v>13</v>
      </c>
      <c r="I35" s="5" t="s">
        <v>63</v>
      </c>
      <c r="J35" s="1">
        <v>40.692307692307693</v>
      </c>
      <c r="N35" s="5" t="s">
        <v>64</v>
      </c>
      <c r="O35" s="1">
        <v>4</v>
      </c>
    </row>
    <row r="36" spans="1:15" x14ac:dyDescent="0.3">
      <c r="A36" s="4" t="s">
        <v>5</v>
      </c>
      <c r="B36" t="s">
        <v>0</v>
      </c>
      <c r="D36" s="5" t="s">
        <v>65</v>
      </c>
      <c r="E36" s="10">
        <v>13</v>
      </c>
      <c r="I36" s="5" t="s">
        <v>64</v>
      </c>
      <c r="J36" s="1">
        <v>34.46153846153846</v>
      </c>
      <c r="N36" s="5" t="s">
        <v>65</v>
      </c>
      <c r="O36" s="1">
        <v>4.4444444444444446</v>
      </c>
    </row>
    <row r="37" spans="1:15" x14ac:dyDescent="0.3">
      <c r="A37" s="5" t="s">
        <v>14</v>
      </c>
      <c r="B37" s="6">
        <v>73</v>
      </c>
      <c r="D37" s="5" t="s">
        <v>66</v>
      </c>
      <c r="E37" s="10">
        <v>20</v>
      </c>
      <c r="I37" s="5" t="s">
        <v>65</v>
      </c>
      <c r="J37" s="1">
        <v>30.307692307692307</v>
      </c>
      <c r="N37" s="5" t="s">
        <v>66</v>
      </c>
      <c r="O37" s="1">
        <v>4.8571428571428568</v>
      </c>
    </row>
    <row r="38" spans="1:15" x14ac:dyDescent="0.3">
      <c r="A38" s="5" t="s">
        <v>15</v>
      </c>
      <c r="B38" s="6">
        <v>64</v>
      </c>
      <c r="D38" s="5" t="s">
        <v>67</v>
      </c>
      <c r="E38" s="10">
        <v>15</v>
      </c>
      <c r="I38" s="5" t="s">
        <v>66</v>
      </c>
      <c r="J38" s="1">
        <v>38.5</v>
      </c>
      <c r="N38" s="5" t="s">
        <v>67</v>
      </c>
      <c r="O38" s="1">
        <v>5.5714285714285712</v>
      </c>
    </row>
    <row r="39" spans="1:15" x14ac:dyDescent="0.3">
      <c r="A39" s="5" t="s">
        <v>16</v>
      </c>
      <c r="B39" s="6">
        <v>74</v>
      </c>
      <c r="D39" s="5" t="s">
        <v>68</v>
      </c>
      <c r="E39" s="10">
        <v>19</v>
      </c>
      <c r="I39" s="5" t="s">
        <v>67</v>
      </c>
      <c r="J39" s="1">
        <v>35.333333333333336</v>
      </c>
      <c r="N39" s="5" t="s">
        <v>68</v>
      </c>
      <c r="O39" s="1">
        <v>6</v>
      </c>
    </row>
    <row r="40" spans="1:15" x14ac:dyDescent="0.3">
      <c r="A40" s="5" t="s">
        <v>17</v>
      </c>
      <c r="B40" s="6">
        <v>71</v>
      </c>
      <c r="D40" s="5" t="s">
        <v>4</v>
      </c>
      <c r="E40" s="10">
        <v>519</v>
      </c>
      <c r="I40" s="5" t="s">
        <v>68</v>
      </c>
      <c r="J40" s="1">
        <v>32.421052631578945</v>
      </c>
      <c r="N40" s="5" t="s">
        <v>4</v>
      </c>
      <c r="O40" s="1">
        <v>5.1455696202531644</v>
      </c>
    </row>
    <row r="41" spans="1:15" x14ac:dyDescent="0.3">
      <c r="A41" s="5" t="s">
        <v>18</v>
      </c>
      <c r="B41" s="6">
        <v>58</v>
      </c>
      <c r="I41" s="5" t="s">
        <v>4</v>
      </c>
      <c r="J41" s="1">
        <v>35.809248554913296</v>
      </c>
    </row>
    <row r="42" spans="1:15" x14ac:dyDescent="0.3">
      <c r="A42" s="5" t="s">
        <v>19</v>
      </c>
      <c r="B42" s="6">
        <v>68</v>
      </c>
    </row>
    <row r="43" spans="1:15" x14ac:dyDescent="0.3">
      <c r="A43" s="5" t="s">
        <v>20</v>
      </c>
      <c r="B43" s="6">
        <v>62</v>
      </c>
    </row>
    <row r="44" spans="1:15" x14ac:dyDescent="0.3">
      <c r="A44" s="5" t="s">
        <v>21</v>
      </c>
      <c r="B44" s="6">
        <v>49</v>
      </c>
    </row>
    <row r="45" spans="1:15" x14ac:dyDescent="0.3">
      <c r="A45" s="5" t="s">
        <v>4</v>
      </c>
      <c r="B45" s="6">
        <v>519</v>
      </c>
    </row>
    <row r="49" spans="1:2" x14ac:dyDescent="0.3">
      <c r="A49" s="4" t="s">
        <v>5</v>
      </c>
      <c r="B49" t="s">
        <v>0</v>
      </c>
    </row>
    <row r="50" spans="1:2" x14ac:dyDescent="0.3">
      <c r="A50" s="5" t="s">
        <v>29</v>
      </c>
      <c r="B50" s="6">
        <v>3</v>
      </c>
    </row>
    <row r="51" spans="1:2" x14ac:dyDescent="0.3">
      <c r="A51" s="5" t="s">
        <v>23</v>
      </c>
      <c r="B51" s="6">
        <v>8</v>
      </c>
    </row>
    <row r="52" spans="1:2" x14ac:dyDescent="0.3">
      <c r="A52" s="5" t="s">
        <v>22</v>
      </c>
      <c r="B52" s="6">
        <v>11</v>
      </c>
    </row>
    <row r="53" spans="1:2" x14ac:dyDescent="0.3">
      <c r="A53" s="5" t="s">
        <v>28</v>
      </c>
      <c r="B53" s="6">
        <v>15</v>
      </c>
    </row>
    <row r="54" spans="1:2" x14ac:dyDescent="0.3">
      <c r="A54" s="5" t="s">
        <v>25</v>
      </c>
      <c r="B54" s="6">
        <v>16</v>
      </c>
    </row>
    <row r="55" spans="1:2" x14ac:dyDescent="0.3">
      <c r="A55" s="5" t="s">
        <v>27</v>
      </c>
      <c r="B55" s="6">
        <v>51</v>
      </c>
    </row>
    <row r="56" spans="1:2" x14ac:dyDescent="0.3">
      <c r="A56" s="5" t="s">
        <v>24</v>
      </c>
      <c r="B56" s="6">
        <v>102</v>
      </c>
    </row>
    <row r="57" spans="1:2" x14ac:dyDescent="0.3">
      <c r="A57" s="5" t="s">
        <v>26</v>
      </c>
      <c r="B57" s="6">
        <v>313</v>
      </c>
    </row>
    <row r="58" spans="1:2" x14ac:dyDescent="0.3">
      <c r="A58" s="5" t="s">
        <v>4</v>
      </c>
      <c r="B58" s="6">
        <v>519</v>
      </c>
    </row>
    <row r="64" spans="1:2" x14ac:dyDescent="0.3">
      <c r="A64" s="4" t="s">
        <v>5</v>
      </c>
    </row>
    <row r="65" spans="1:2" x14ac:dyDescent="0.3">
      <c r="A65" s="5" t="s">
        <v>30</v>
      </c>
    </row>
    <row r="66" spans="1:2" x14ac:dyDescent="0.3">
      <c r="A66" s="5" t="s">
        <v>4</v>
      </c>
    </row>
    <row r="70" spans="1:2" x14ac:dyDescent="0.3">
      <c r="A70" s="4" t="s">
        <v>5</v>
      </c>
      <c r="B70" t="s">
        <v>0</v>
      </c>
    </row>
    <row r="71" spans="1:2" x14ac:dyDescent="0.3">
      <c r="A71" s="5" t="s">
        <v>34</v>
      </c>
      <c r="B71" s="6">
        <v>28</v>
      </c>
    </row>
    <row r="72" spans="1:2" x14ac:dyDescent="0.3">
      <c r="A72" s="5" t="s">
        <v>35</v>
      </c>
      <c r="B72" s="6">
        <v>29</v>
      </c>
    </row>
    <row r="73" spans="1:2" x14ac:dyDescent="0.3">
      <c r="A73" s="5" t="s">
        <v>33</v>
      </c>
      <c r="B73" s="6">
        <v>63</v>
      </c>
    </row>
    <row r="74" spans="1:2" x14ac:dyDescent="0.3">
      <c r="A74" s="5" t="s">
        <v>32</v>
      </c>
      <c r="B74" s="6">
        <v>73</v>
      </c>
    </row>
    <row r="75" spans="1:2" x14ac:dyDescent="0.3">
      <c r="A75" s="5" t="s">
        <v>36</v>
      </c>
      <c r="B75" s="6">
        <v>77</v>
      </c>
    </row>
    <row r="76" spans="1:2" x14ac:dyDescent="0.3">
      <c r="A76" s="5" t="s">
        <v>31</v>
      </c>
      <c r="B76" s="6">
        <v>111</v>
      </c>
    </row>
    <row r="77" spans="1:2" x14ac:dyDescent="0.3">
      <c r="A77" s="5" t="s">
        <v>37</v>
      </c>
      <c r="B77" s="6">
        <v>138</v>
      </c>
    </row>
    <row r="78" spans="1:2" x14ac:dyDescent="0.3">
      <c r="A78" s="5" t="s">
        <v>4</v>
      </c>
      <c r="B78" s="6">
        <v>519</v>
      </c>
    </row>
    <row r="82" spans="1:1" x14ac:dyDescent="0.3">
      <c r="A82" s="4" t="s">
        <v>5</v>
      </c>
    </row>
    <row r="83" spans="1:1" x14ac:dyDescent="0.3">
      <c r="A83" s="5" t="s">
        <v>12</v>
      </c>
    </row>
    <row r="84" spans="1:1" x14ac:dyDescent="0.3">
      <c r="A84" s="5" t="s">
        <v>13</v>
      </c>
    </row>
    <row r="85" spans="1:1" x14ac:dyDescent="0.3">
      <c r="A85" s="5" t="s">
        <v>4</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6BAE-137C-4D71-868A-F8D7F7C36013}">
  <dimension ref="A1:N27"/>
  <sheetViews>
    <sheetView zoomScale="94" zoomScaleNormal="172" workbookViewId="0"/>
  </sheetViews>
  <sheetFormatPr defaultRowHeight="14.4" x14ac:dyDescent="0.3"/>
  <cols>
    <col min="8" max="8" width="8.88671875" customWidth="1"/>
  </cols>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row r="21" spans="1:14" x14ac:dyDescent="0.3">
      <c r="A21" s="3"/>
      <c r="B21" s="3"/>
      <c r="C21" s="3"/>
      <c r="D21" s="3"/>
      <c r="E21" s="3"/>
      <c r="F21" s="3"/>
      <c r="G21" s="3"/>
      <c r="H21" s="3"/>
      <c r="I21" s="3"/>
      <c r="J21" s="3"/>
      <c r="K21" s="3"/>
      <c r="L21" s="3"/>
      <c r="M21" s="3"/>
      <c r="N21" s="3"/>
    </row>
    <row r="22" spans="1:14" x14ac:dyDescent="0.3">
      <c r="A22" s="3"/>
      <c r="B22" s="3"/>
      <c r="C22" s="3"/>
      <c r="D22" s="3"/>
      <c r="E22" s="3"/>
      <c r="F22" s="3"/>
      <c r="G22" s="3"/>
      <c r="H22" s="3"/>
      <c r="I22" s="3"/>
      <c r="J22" s="3"/>
      <c r="K22" s="3"/>
      <c r="L22" s="3"/>
      <c r="M22" s="3"/>
      <c r="N22" s="3"/>
    </row>
    <row r="23" spans="1:14" x14ac:dyDescent="0.3">
      <c r="A23" s="3"/>
      <c r="B23" s="3"/>
      <c r="C23" s="3"/>
      <c r="D23" s="3"/>
      <c r="E23" s="3"/>
      <c r="F23" s="3"/>
      <c r="G23" s="3"/>
      <c r="H23" s="3"/>
      <c r="I23" s="3"/>
      <c r="J23" s="3"/>
      <c r="K23" s="3"/>
      <c r="L23" s="3"/>
      <c r="M23" s="3"/>
      <c r="N23" s="3"/>
    </row>
    <row r="24" spans="1:14" x14ac:dyDescent="0.3">
      <c r="A24" s="3"/>
      <c r="B24" s="3"/>
      <c r="C24" s="3"/>
      <c r="D24" s="3"/>
      <c r="E24" s="3"/>
      <c r="F24" s="3"/>
      <c r="G24" s="3"/>
      <c r="H24" s="3"/>
      <c r="I24" s="3"/>
      <c r="J24" s="3"/>
      <c r="K24" s="3"/>
      <c r="L24" s="3"/>
      <c r="M24" s="3"/>
      <c r="N24" s="3"/>
    </row>
    <row r="25" spans="1:14" x14ac:dyDescent="0.3">
      <c r="A25" s="3"/>
      <c r="B25" s="3"/>
      <c r="C25" s="3"/>
      <c r="D25" s="3"/>
      <c r="E25" s="3"/>
      <c r="F25" s="3"/>
      <c r="G25" s="3"/>
      <c r="H25" s="3"/>
      <c r="I25" s="3"/>
      <c r="J25" s="3"/>
      <c r="K25" s="3"/>
      <c r="L25" s="3"/>
      <c r="M25" s="3"/>
      <c r="N25" s="3"/>
    </row>
    <row r="26" spans="1:14" x14ac:dyDescent="0.3">
      <c r="A26" s="3"/>
      <c r="B26" s="3"/>
      <c r="C26" s="3"/>
      <c r="D26" s="3"/>
      <c r="E26" s="3"/>
      <c r="F26" s="3"/>
      <c r="G26" s="3"/>
      <c r="H26" s="3"/>
      <c r="I26" s="3"/>
      <c r="J26" s="3"/>
      <c r="K26" s="3"/>
      <c r="L26" s="3"/>
      <c r="M26" s="3"/>
      <c r="N26" s="3"/>
    </row>
    <row r="27" spans="1:14" x14ac:dyDescent="0.3">
      <c r="A27" s="3"/>
      <c r="B27" s="3"/>
      <c r="C27" s="3"/>
      <c r="D27" s="3"/>
      <c r="E27" s="3"/>
      <c r="F27" s="3"/>
      <c r="G27" s="3"/>
      <c r="H27" s="3"/>
      <c r="I27" s="3"/>
      <c r="J27" s="3"/>
      <c r="K27" s="3"/>
      <c r="L27" s="3"/>
      <c r="M27" s="3"/>
      <c r="N27"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05C6C-0F54-49BC-A8AE-C05B19A9C907}">
  <dimension ref="D17:J18"/>
  <sheetViews>
    <sheetView zoomScale="131" workbookViewId="0"/>
  </sheetViews>
  <sheetFormatPr defaultRowHeight="14.4" x14ac:dyDescent="0.3"/>
  <sheetData>
    <row r="17" spans="4:10" x14ac:dyDescent="0.3">
      <c r="D17" s="7" t="s">
        <v>10</v>
      </c>
      <c r="E17" s="8"/>
      <c r="F17" s="8"/>
      <c r="G17" s="8"/>
      <c r="H17" s="8"/>
      <c r="I17" s="8"/>
      <c r="J17" s="8"/>
    </row>
    <row r="18" spans="4:10" x14ac:dyDescent="0.3">
      <c r="D18" s="8"/>
      <c r="E18" s="8"/>
      <c r="F18" s="8"/>
      <c r="G18" s="8"/>
      <c r="H18" s="8"/>
      <c r="I18" s="8"/>
      <c r="J18" s="8"/>
    </row>
  </sheetData>
  <mergeCells count="1">
    <mergeCell ref="D17:J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07B2-B806-4772-ADBB-65C427B67B1C}">
  <dimension ref="F19:O20"/>
  <sheetViews>
    <sheetView zoomScale="82" workbookViewId="0"/>
  </sheetViews>
  <sheetFormatPr defaultRowHeight="14.4" x14ac:dyDescent="0.3"/>
  <sheetData>
    <row r="19" spans="6:15" x14ac:dyDescent="0.3">
      <c r="F19" s="7" t="s">
        <v>9</v>
      </c>
      <c r="G19" s="8"/>
      <c r="H19" s="8"/>
      <c r="I19" s="8"/>
      <c r="J19" s="8"/>
      <c r="K19" s="8"/>
      <c r="L19" s="8"/>
      <c r="M19" s="8"/>
      <c r="N19" s="8"/>
      <c r="O19" s="8"/>
    </row>
    <row r="20" spans="6:15" x14ac:dyDescent="0.3">
      <c r="F20" s="8"/>
      <c r="G20" s="8"/>
      <c r="H20" s="8"/>
      <c r="I20" s="8"/>
      <c r="J20" s="8"/>
      <c r="K20" s="8"/>
      <c r="L20" s="8"/>
      <c r="M20" s="8"/>
      <c r="N20" s="8"/>
      <c r="O20" s="8"/>
    </row>
  </sheetData>
  <mergeCells count="1">
    <mergeCell ref="F19:O2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7217-2CDA-455F-B074-B138FAFC7A38}">
  <dimension ref="B17:J17"/>
  <sheetViews>
    <sheetView zoomScale="139" workbookViewId="0"/>
  </sheetViews>
  <sheetFormatPr defaultRowHeight="14.4" x14ac:dyDescent="0.3"/>
  <sheetData>
    <row r="17" spans="2:10" x14ac:dyDescent="0.3">
      <c r="B17" s="9" t="s">
        <v>6</v>
      </c>
      <c r="C17" s="8"/>
      <c r="D17" s="8"/>
      <c r="E17" s="8"/>
      <c r="F17" s="8"/>
      <c r="G17" s="8"/>
      <c r="H17" s="8"/>
      <c r="I17" s="8"/>
      <c r="J17" s="8"/>
    </row>
  </sheetData>
  <mergeCells count="1">
    <mergeCell ref="B17:J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0C2A9DF-7F54-4CD3-9DDB-F78977DAE606}">
  <ds:schemaRefs/>
</ds:datastoreItem>
</file>

<file path=customXml/itemProps2.xml><?xml version="1.0" encoding="utf-8"?>
<ds:datastoreItem xmlns:ds="http://schemas.openxmlformats.org/officeDocument/2006/customXml" ds:itemID="{B76198A3-9835-4707-A47D-08B000CB08AA}">
  <ds:schemaRefs/>
</ds:datastoreItem>
</file>

<file path=customXml/itemProps3.xml><?xml version="1.0" encoding="utf-8"?>
<ds:datastoreItem xmlns:ds="http://schemas.openxmlformats.org/officeDocument/2006/customXml" ds:itemID="{2A337960-4F02-42DE-BF03-27D0B2203955}">
  <ds:schemaRefs/>
</ds:datastoreItem>
</file>

<file path=customXml/itemProps4.xml><?xml version="1.0" encoding="utf-8"?>
<ds:datastoreItem xmlns:ds="http://schemas.openxmlformats.org/officeDocument/2006/customXml" ds:itemID="{DAF27ACC-612F-4D81-A133-D649642BBE7D}">
  <ds:schemaRefs/>
</ds:datastoreItem>
</file>

<file path=customXml/itemProps5.xml><?xml version="1.0" encoding="utf-8"?>
<ds:datastoreItem xmlns:ds="http://schemas.openxmlformats.org/officeDocument/2006/customXml" ds:itemID="{F59E207A-8803-45AB-B2D4-A022A09D5C28}">
  <ds:schemaRefs/>
</ds:datastoreItem>
</file>

<file path=customXml/itemProps6.xml><?xml version="1.0" encoding="utf-8"?>
<ds:datastoreItem xmlns:ds="http://schemas.openxmlformats.org/officeDocument/2006/customXml" ds:itemID="{BF03BC06-9770-485F-B3E2-B06022763AE4}">
  <ds:schemaRefs/>
</ds:datastoreItem>
</file>

<file path=customXml/itemProps7.xml><?xml version="1.0" encoding="utf-8"?>
<ds:datastoreItem xmlns:ds="http://schemas.openxmlformats.org/officeDocument/2006/customXml" ds:itemID="{150B98CD-4199-4F68-81D4-4BB21C01CEA5}">
  <ds:schemaRefs/>
</ds:datastoreItem>
</file>

<file path=customXml/itemProps8.xml><?xml version="1.0" encoding="utf-8"?>
<ds:datastoreItem xmlns:ds="http://schemas.openxmlformats.org/officeDocument/2006/customXml" ds:itemID="{96EECCF5-A485-40A6-90BF-1E65E13C3844}">
  <ds:schemaRefs/>
</ds:datastoreItem>
</file>

<file path=customXml/itemProps9.xml><?xml version="1.0" encoding="utf-8"?>
<ds:datastoreItem xmlns:ds="http://schemas.openxmlformats.org/officeDocument/2006/customXml" ds:itemID="{272FC34F-8E66-4591-968B-66F392530FCE}">
  <ds:schemaRefs>
    <ds:schemaRef ds:uri="http://schemas.microsoft.com/DataMashup"/>
  </ds:schemaRefs>
</ds:datastoreItem>
</file>

<file path=customXml/itemProps10.xml><?xml version="1.0" encoding="utf-8"?>
<ds:datastoreItem xmlns:ds="http://schemas.openxmlformats.org/officeDocument/2006/customXml" ds:itemID="{A02858BF-2583-430D-8B88-4BA8AAA97AB2}">
  <ds:schemaRefs/>
</ds:datastoreItem>
</file>

<file path=customXml/itemProps11.xml><?xml version="1.0" encoding="utf-8"?>
<ds:datastoreItem xmlns:ds="http://schemas.openxmlformats.org/officeDocument/2006/customXml" ds:itemID="{41357062-65DD-4442-8D4A-D132BE0BF2A3}">
  <ds:schemaRefs/>
</ds:datastoreItem>
</file>

<file path=customXml/itemProps12.xml><?xml version="1.0" encoding="utf-8"?>
<ds:datastoreItem xmlns:ds="http://schemas.openxmlformats.org/officeDocument/2006/customXml" ds:itemID="{6D0B169A-3C06-4228-B55F-395DE14CE15D}">
  <ds:schemaRefs/>
</ds:datastoreItem>
</file>

<file path=customXml/itemProps13.xml><?xml version="1.0" encoding="utf-8"?>
<ds:datastoreItem xmlns:ds="http://schemas.openxmlformats.org/officeDocument/2006/customXml" ds:itemID="{B3E443E9-BE08-4512-9A47-D1669C42CE1F}">
  <ds:schemaRefs/>
</ds:datastoreItem>
</file>

<file path=customXml/itemProps14.xml><?xml version="1.0" encoding="utf-8"?>
<ds:datastoreItem xmlns:ds="http://schemas.openxmlformats.org/officeDocument/2006/customXml" ds:itemID="{50D011DD-472B-4682-8776-06AFD327C5AA}">
  <ds:schemaRefs/>
</ds:datastoreItem>
</file>

<file path=customXml/itemProps15.xml><?xml version="1.0" encoding="utf-8"?>
<ds:datastoreItem xmlns:ds="http://schemas.openxmlformats.org/officeDocument/2006/customXml" ds:itemID="{24464393-3A5C-44A2-8EEB-99561E7653BC}">
  <ds:schemaRefs/>
</ds:datastoreItem>
</file>

<file path=customXml/itemProps16.xml><?xml version="1.0" encoding="utf-8"?>
<ds:datastoreItem xmlns:ds="http://schemas.openxmlformats.org/officeDocument/2006/customXml" ds:itemID="{DD2DF7CD-21C7-4E0D-AE21-9E4363EFE5A5}">
  <ds:schemaRefs/>
</ds:datastoreItem>
</file>

<file path=customXml/itemProps17.xml><?xml version="1.0" encoding="utf-8"?>
<ds:datastoreItem xmlns:ds="http://schemas.openxmlformats.org/officeDocument/2006/customXml" ds:itemID="{9C9F44A3-DDB5-4D29-B63B-64E760AAF513}">
  <ds:schemaRefs/>
</ds:datastoreItem>
</file>

<file path=customXml/itemProps18.xml><?xml version="1.0" encoding="utf-8"?>
<ds:datastoreItem xmlns:ds="http://schemas.openxmlformats.org/officeDocument/2006/customXml" ds:itemID="{70FFCBB6-B231-449A-B810-6F611129AF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 Patient Satisfaction Score </vt:lpstr>
      <vt:lpstr>Avg Patient Time</vt:lpstr>
      <vt:lpstr>Daily ER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patil</dc:creator>
  <cp:lastModifiedBy>aditi patil</cp:lastModifiedBy>
  <dcterms:created xsi:type="dcterms:W3CDTF">2026-02-11T09:33:26Z</dcterms:created>
  <dcterms:modified xsi:type="dcterms:W3CDTF">2026-02-15T09:31:06Z</dcterms:modified>
</cp:coreProperties>
</file>